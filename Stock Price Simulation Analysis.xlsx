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eece/Library/Mobile Documents/com~apple~CloudDocs/"/>
    </mc:Choice>
  </mc:AlternateContent>
  <xr:revisionPtr revIDLastSave="0" documentId="8_{6442F03A-224E-4041-99BC-75768A02A8F4}" xr6:coauthVersionLast="47" xr6:coauthVersionMax="47" xr10:uidLastSave="{00000000-0000-0000-0000-000000000000}"/>
  <bookViews>
    <workbookView xWindow="0" yWindow="600" windowWidth="28160" windowHeight="15480" activeTab="1" xr2:uid="{91568788-B7EF-2841-8F3C-2BAB16CDAD7C}"/>
  </bookViews>
  <sheets>
    <sheet name="Kenechukwu" sheetId="1" r:id="rId1"/>
    <sheet name="Morgan" sheetId="2" r:id="rId2"/>
    <sheet name="Lis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N5" i="1"/>
  <c r="N4" i="1" s="1"/>
  <c r="M254" i="3"/>
  <c r="N252" i="1"/>
  <c r="N251" i="1" s="1"/>
  <c r="N250" i="1" s="1"/>
  <c r="N249" i="1" s="1"/>
  <c r="N248" i="1" s="1"/>
  <c r="N247" i="1" s="1"/>
  <c r="N246" i="1" s="1"/>
  <c r="N245" i="1" s="1"/>
  <c r="N244" i="1" s="1"/>
  <c r="N243" i="1" s="1"/>
  <c r="N242" i="1" s="1"/>
  <c r="N241" i="1" s="1"/>
  <c r="N240" i="1" s="1"/>
  <c r="N239" i="1" s="1"/>
  <c r="N238" i="1" s="1"/>
  <c r="N237" i="1" s="1"/>
  <c r="N236" i="1" s="1"/>
  <c r="N235" i="1" s="1"/>
  <c r="N234" i="1" s="1"/>
  <c r="N233" i="1" s="1"/>
  <c r="N232" i="1" s="1"/>
  <c r="N231" i="1" s="1"/>
  <c r="N230" i="1" s="1"/>
  <c r="N229" i="1" s="1"/>
  <c r="N228" i="1" s="1"/>
  <c r="N227" i="1" s="1"/>
  <c r="N226" i="1" s="1"/>
  <c r="N225" i="1" s="1"/>
  <c r="N224" i="1" s="1"/>
  <c r="N223" i="1" s="1"/>
  <c r="N222" i="1" s="1"/>
  <c r="N221" i="1" s="1"/>
  <c r="N220" i="1" s="1"/>
  <c r="N219" i="1" s="1"/>
  <c r="N218" i="1" s="1"/>
  <c r="N217" i="1" s="1"/>
  <c r="N216" i="1" s="1"/>
  <c r="N215" i="1" s="1"/>
  <c r="N214" i="1" s="1"/>
  <c r="N213" i="1" s="1"/>
  <c r="N212" i="1" s="1"/>
  <c r="N211" i="1" s="1"/>
  <c r="N210" i="1" s="1"/>
  <c r="N209" i="1" s="1"/>
  <c r="N208" i="1" s="1"/>
  <c r="N207" i="1" s="1"/>
  <c r="N206" i="1" s="1"/>
  <c r="N205" i="1" s="1"/>
  <c r="N204" i="1" s="1"/>
  <c r="N203" i="1" s="1"/>
  <c r="N202" i="1" s="1"/>
  <c r="N201" i="1" s="1"/>
  <c r="N200" i="1" s="1"/>
  <c r="N199" i="1" s="1"/>
  <c r="N198" i="1" s="1"/>
  <c r="N197" i="1" s="1"/>
  <c r="N196" i="1" s="1"/>
  <c r="N195" i="1" s="1"/>
  <c r="N194" i="1" s="1"/>
  <c r="N193" i="1" s="1"/>
  <c r="N192" i="1" s="1"/>
  <c r="N191" i="1" s="1"/>
  <c r="N190" i="1" s="1"/>
  <c r="N189" i="1" s="1"/>
  <c r="N188" i="1" s="1"/>
  <c r="N187" i="1" s="1"/>
  <c r="N186" i="1" s="1"/>
  <c r="N185" i="1" s="1"/>
  <c r="N184" i="1" s="1"/>
  <c r="N183" i="1" s="1"/>
  <c r="N182" i="1" s="1"/>
  <c r="N181" i="1" s="1"/>
  <c r="N180" i="1" s="1"/>
  <c r="N179" i="1" s="1"/>
  <c r="N178" i="1" s="1"/>
  <c r="N177" i="1" s="1"/>
  <c r="N176" i="1" s="1"/>
  <c r="N175" i="1" s="1"/>
  <c r="N174" i="1" s="1"/>
  <c r="N173" i="1" s="1"/>
  <c r="N172" i="1" s="1"/>
  <c r="N171" i="1" s="1"/>
  <c r="N170" i="1" s="1"/>
  <c r="N169" i="1" s="1"/>
  <c r="N168" i="1" s="1"/>
  <c r="N167" i="1" s="1"/>
  <c r="N166" i="1" s="1"/>
  <c r="N165" i="1" s="1"/>
  <c r="N164" i="1" s="1"/>
  <c r="N163" i="1" s="1"/>
  <c r="N162" i="1" s="1"/>
  <c r="N161" i="1" s="1"/>
  <c r="N160" i="1" s="1"/>
  <c r="N159" i="1" s="1"/>
  <c r="N158" i="1" s="1"/>
  <c r="N157" i="1" s="1"/>
  <c r="N156" i="1" s="1"/>
  <c r="N155" i="1" s="1"/>
  <c r="N154" i="1" s="1"/>
  <c r="N153" i="1" s="1"/>
  <c r="N152" i="1" s="1"/>
  <c r="N151" i="1" s="1"/>
  <c r="N150" i="1" s="1"/>
  <c r="N149" i="1" s="1"/>
  <c r="N148" i="1" s="1"/>
  <c r="N147" i="1" s="1"/>
  <c r="N146" i="1" s="1"/>
  <c r="N145" i="1" s="1"/>
  <c r="N144" i="1" s="1"/>
  <c r="N143" i="1" s="1"/>
  <c r="N142" i="1" s="1"/>
  <c r="N141" i="1" s="1"/>
  <c r="N140" i="1" s="1"/>
  <c r="N139" i="1" s="1"/>
  <c r="N138" i="1" s="1"/>
  <c r="N137" i="1" s="1"/>
  <c r="N136" i="1" s="1"/>
  <c r="N135" i="1" s="1"/>
  <c r="N134" i="1" s="1"/>
  <c r="N133" i="1" s="1"/>
  <c r="N132" i="1" s="1"/>
  <c r="N131" i="1" s="1"/>
  <c r="N130" i="1" s="1"/>
  <c r="N129" i="1" s="1"/>
  <c r="N128" i="1" s="1"/>
  <c r="N127" i="1" s="1"/>
  <c r="N126" i="1" s="1"/>
  <c r="N125" i="1" s="1"/>
  <c r="N124" i="1" s="1"/>
  <c r="N123" i="1" s="1"/>
  <c r="N122" i="1" s="1"/>
  <c r="N121" i="1" s="1"/>
  <c r="N120" i="1" s="1"/>
  <c r="N119" i="1" s="1"/>
  <c r="N118" i="1" s="1"/>
  <c r="N117" i="1" s="1"/>
  <c r="N116" i="1" s="1"/>
  <c r="N115" i="1" s="1"/>
  <c r="N114" i="1" s="1"/>
  <c r="N113" i="1" s="1"/>
  <c r="N112" i="1" s="1"/>
  <c r="N111" i="1" s="1"/>
  <c r="N110" i="1" s="1"/>
  <c r="N109" i="1" s="1"/>
  <c r="N108" i="1" s="1"/>
  <c r="N107" i="1" s="1"/>
  <c r="N106" i="1" s="1"/>
  <c r="N105" i="1" s="1"/>
  <c r="N104" i="1" s="1"/>
  <c r="N103" i="1" s="1"/>
  <c r="N102" i="1" s="1"/>
  <c r="N101" i="1" s="1"/>
  <c r="N100" i="1" s="1"/>
  <c r="N99" i="1" s="1"/>
  <c r="N98" i="1" s="1"/>
  <c r="N97" i="1" s="1"/>
  <c r="N96" i="1" s="1"/>
  <c r="N95" i="1" s="1"/>
  <c r="N94" i="1" s="1"/>
  <c r="N93" i="1" s="1"/>
  <c r="N92" i="1" s="1"/>
  <c r="N91" i="1" s="1"/>
  <c r="N90" i="1" s="1"/>
  <c r="N89" i="1" s="1"/>
  <c r="N88" i="1" s="1"/>
  <c r="N87" i="1" s="1"/>
  <c r="N86" i="1" s="1"/>
  <c r="N85" i="1" s="1"/>
  <c r="N84" i="1" s="1"/>
  <c r="N83" i="1" s="1"/>
  <c r="N82" i="1" s="1"/>
  <c r="N81" i="1" s="1"/>
  <c r="N80" i="1" s="1"/>
  <c r="N79" i="1" s="1"/>
  <c r="N78" i="1" s="1"/>
  <c r="N77" i="1" s="1"/>
  <c r="N76" i="1" s="1"/>
  <c r="N75" i="1" s="1"/>
  <c r="N74" i="1" s="1"/>
  <c r="N73" i="1" s="1"/>
  <c r="N72" i="1" s="1"/>
  <c r="N71" i="1" s="1"/>
  <c r="N70" i="1" s="1"/>
  <c r="N69" i="1" s="1"/>
  <c r="N68" i="1" s="1"/>
  <c r="N67" i="1" s="1"/>
  <c r="N66" i="1" s="1"/>
  <c r="N65" i="1" s="1"/>
  <c r="N64" i="1" s="1"/>
  <c r="N63" i="1" s="1"/>
  <c r="N62" i="1" s="1"/>
  <c r="N61" i="1" s="1"/>
  <c r="N60" i="1" s="1"/>
  <c r="N59" i="1" s="1"/>
  <c r="N58" i="1" s="1"/>
  <c r="N57" i="1" s="1"/>
  <c r="N56" i="1" s="1"/>
  <c r="N55" i="1" s="1"/>
  <c r="N54" i="1" s="1"/>
  <c r="N53" i="1" s="1"/>
  <c r="N52" i="1" s="1"/>
  <c r="N51" i="1" s="1"/>
  <c r="N50" i="1" s="1"/>
  <c r="N49" i="1" s="1"/>
  <c r="N48" i="1" s="1"/>
  <c r="N47" i="1" s="1"/>
  <c r="N46" i="1" s="1"/>
  <c r="N45" i="1" s="1"/>
  <c r="N44" i="1" s="1"/>
  <c r="N43" i="1" s="1"/>
  <c r="N42" i="1" s="1"/>
  <c r="N41" i="1" s="1"/>
  <c r="N40" i="1" s="1"/>
  <c r="N39" i="1" s="1"/>
  <c r="N38" i="1" s="1"/>
  <c r="N37" i="1" s="1"/>
  <c r="N36" i="1" s="1"/>
  <c r="N35" i="1" s="1"/>
  <c r="N34" i="1" s="1"/>
  <c r="N33" i="1" s="1"/>
  <c r="N32" i="1" s="1"/>
  <c r="N31" i="1" s="1"/>
  <c r="N30" i="1" s="1"/>
  <c r="N29" i="1" s="1"/>
  <c r="N28" i="1" s="1"/>
  <c r="N27" i="1" s="1"/>
  <c r="N26" i="1" s="1"/>
  <c r="N25" i="1" s="1"/>
  <c r="N24" i="1" s="1"/>
  <c r="N23" i="1" s="1"/>
  <c r="N22" i="1" s="1"/>
  <c r="N21" i="1" s="1"/>
  <c r="N20" i="1" s="1"/>
  <c r="N19" i="1" s="1"/>
  <c r="N18" i="1" s="1"/>
  <c r="N17" i="1" s="1"/>
  <c r="N16" i="1" s="1"/>
  <c r="N15" i="1" s="1"/>
  <c r="N14" i="1" s="1"/>
  <c r="N13" i="1" s="1"/>
  <c r="N12" i="1" s="1"/>
  <c r="N11" i="1" s="1"/>
  <c r="N10" i="1" s="1"/>
  <c r="N9" i="1" s="1"/>
  <c r="N8" i="1" s="1"/>
  <c r="N7" i="1" s="1"/>
  <c r="N6" i="1" s="1"/>
  <c r="N253" i="1"/>
  <c r="N254" i="1"/>
  <c r="M254" i="2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4" i="3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M253" i="2" s="1"/>
  <c r="K254" i="2"/>
  <c r="K5" i="2"/>
  <c r="K4" i="2"/>
  <c r="P4" i="3"/>
  <c r="P5" i="3" s="1"/>
  <c r="I5" i="2"/>
  <c r="I6" i="2"/>
  <c r="I7" i="2"/>
  <c r="I8" i="2"/>
  <c r="I9" i="2"/>
  <c r="I10" i="2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4" i="3"/>
  <c r="I254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4" i="2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4" i="1"/>
  <c r="P3" i="3" l="1"/>
  <c r="M253" i="3" s="1"/>
  <c r="M252" i="3" s="1"/>
  <c r="M251" i="3" s="1"/>
  <c r="M250" i="3" s="1"/>
  <c r="M249" i="3" s="1"/>
  <c r="M248" i="3" s="1"/>
  <c r="M247" i="3" s="1"/>
  <c r="M246" i="3" s="1"/>
  <c r="M245" i="3" s="1"/>
  <c r="M244" i="3" s="1"/>
  <c r="M243" i="3" s="1"/>
  <c r="M242" i="3" s="1"/>
  <c r="M241" i="3" s="1"/>
  <c r="M240" i="3" s="1"/>
  <c r="M239" i="3" s="1"/>
  <c r="M238" i="3" s="1"/>
  <c r="M237" i="3" s="1"/>
  <c r="M236" i="3" s="1"/>
  <c r="M235" i="3" s="1"/>
  <c r="M234" i="3" s="1"/>
  <c r="M233" i="3" s="1"/>
  <c r="M232" i="3" s="1"/>
  <c r="M231" i="3" s="1"/>
  <c r="M230" i="3" s="1"/>
  <c r="M229" i="3" s="1"/>
  <c r="M228" i="3" s="1"/>
  <c r="M227" i="3" s="1"/>
  <c r="M226" i="3" s="1"/>
  <c r="M225" i="3" s="1"/>
  <c r="M224" i="3" s="1"/>
  <c r="M223" i="3" s="1"/>
  <c r="M222" i="3" s="1"/>
  <c r="M221" i="3" s="1"/>
  <c r="M220" i="3" s="1"/>
  <c r="M219" i="3" s="1"/>
  <c r="M218" i="3" s="1"/>
  <c r="M217" i="3" s="1"/>
  <c r="M216" i="3" s="1"/>
  <c r="M215" i="3" s="1"/>
  <c r="M214" i="3" s="1"/>
  <c r="M213" i="3" s="1"/>
  <c r="M212" i="3" s="1"/>
  <c r="M211" i="3" s="1"/>
  <c r="M210" i="3" s="1"/>
  <c r="M209" i="3" s="1"/>
  <c r="M208" i="3" s="1"/>
  <c r="M207" i="3" s="1"/>
  <c r="M206" i="3" s="1"/>
  <c r="M205" i="3" s="1"/>
  <c r="M204" i="3" s="1"/>
  <c r="M203" i="3" s="1"/>
  <c r="M202" i="3" s="1"/>
  <c r="M201" i="3" s="1"/>
  <c r="M200" i="3" s="1"/>
  <c r="M199" i="3" s="1"/>
  <c r="M198" i="3" s="1"/>
  <c r="M197" i="3" s="1"/>
  <c r="M196" i="3" s="1"/>
  <c r="M195" i="3" s="1"/>
  <c r="M194" i="3" s="1"/>
  <c r="M193" i="3" s="1"/>
  <c r="M192" i="3" s="1"/>
  <c r="M191" i="3" s="1"/>
  <c r="M190" i="3" s="1"/>
  <c r="M189" i="3" s="1"/>
  <c r="M188" i="3" s="1"/>
  <c r="M187" i="3" s="1"/>
  <c r="M186" i="3" s="1"/>
  <c r="M185" i="3" s="1"/>
  <c r="M184" i="3" s="1"/>
  <c r="M183" i="3" s="1"/>
  <c r="M182" i="3" s="1"/>
  <c r="M181" i="3" s="1"/>
  <c r="M180" i="3" s="1"/>
  <c r="M179" i="3" s="1"/>
  <c r="M178" i="3" s="1"/>
  <c r="M177" i="3" s="1"/>
  <c r="M176" i="3" s="1"/>
  <c r="M175" i="3" s="1"/>
  <c r="M174" i="3" s="1"/>
  <c r="M173" i="3" s="1"/>
  <c r="M172" i="3" s="1"/>
  <c r="M171" i="3" s="1"/>
  <c r="M170" i="3" s="1"/>
  <c r="M169" i="3" s="1"/>
  <c r="M168" i="3" s="1"/>
  <c r="M167" i="3" s="1"/>
  <c r="M166" i="3" s="1"/>
  <c r="M165" i="3" s="1"/>
  <c r="M164" i="3" s="1"/>
  <c r="M163" i="3" s="1"/>
  <c r="M162" i="3" s="1"/>
  <c r="M161" i="3" s="1"/>
  <c r="M160" i="3" s="1"/>
  <c r="M159" i="3" s="1"/>
  <c r="M158" i="3" s="1"/>
  <c r="M157" i="3" s="1"/>
  <c r="M156" i="3" s="1"/>
  <c r="M155" i="3" s="1"/>
  <c r="M154" i="3" s="1"/>
  <c r="M153" i="3" s="1"/>
  <c r="M152" i="3" s="1"/>
  <c r="M151" i="3" s="1"/>
  <c r="M150" i="3" s="1"/>
  <c r="M149" i="3" s="1"/>
  <c r="M148" i="3" s="1"/>
  <c r="M147" i="3" s="1"/>
  <c r="M146" i="3" s="1"/>
  <c r="M145" i="3" s="1"/>
  <c r="M144" i="3" s="1"/>
  <c r="M143" i="3" s="1"/>
  <c r="M142" i="3" s="1"/>
  <c r="M141" i="3" s="1"/>
  <c r="M140" i="3" s="1"/>
  <c r="M139" i="3" s="1"/>
  <c r="M138" i="3" s="1"/>
  <c r="M137" i="3" s="1"/>
  <c r="M136" i="3" s="1"/>
  <c r="M135" i="3" s="1"/>
  <c r="M134" i="3" s="1"/>
  <c r="M133" i="3" s="1"/>
  <c r="M132" i="3" s="1"/>
  <c r="M131" i="3" s="1"/>
  <c r="M130" i="3" s="1"/>
  <c r="M129" i="3" s="1"/>
  <c r="M128" i="3" s="1"/>
  <c r="M127" i="3" s="1"/>
  <c r="M126" i="3" s="1"/>
  <c r="M125" i="3" s="1"/>
  <c r="M124" i="3" s="1"/>
  <c r="M123" i="3" s="1"/>
  <c r="M122" i="3" s="1"/>
  <c r="M121" i="3" s="1"/>
  <c r="M120" i="3" s="1"/>
  <c r="M119" i="3" s="1"/>
  <c r="M118" i="3" s="1"/>
  <c r="M117" i="3" s="1"/>
  <c r="M116" i="3" s="1"/>
  <c r="M115" i="3" s="1"/>
  <c r="M114" i="3" s="1"/>
  <c r="M113" i="3" s="1"/>
  <c r="M112" i="3" s="1"/>
  <c r="M111" i="3" s="1"/>
  <c r="M110" i="3" s="1"/>
  <c r="M109" i="3" s="1"/>
  <c r="M108" i="3" s="1"/>
  <c r="M107" i="3" s="1"/>
  <c r="M106" i="3" s="1"/>
  <c r="M105" i="3" s="1"/>
  <c r="M104" i="3" s="1"/>
  <c r="M103" i="3" s="1"/>
  <c r="M102" i="3" s="1"/>
  <c r="M101" i="3" s="1"/>
  <c r="M100" i="3" s="1"/>
  <c r="M99" i="3" s="1"/>
  <c r="M98" i="3" s="1"/>
  <c r="M97" i="3" s="1"/>
  <c r="M96" i="3" s="1"/>
  <c r="M95" i="3" s="1"/>
  <c r="M94" i="3" s="1"/>
  <c r="M93" i="3" s="1"/>
  <c r="M92" i="3" s="1"/>
  <c r="M91" i="3" s="1"/>
  <c r="M90" i="3" s="1"/>
  <c r="M89" i="3" s="1"/>
  <c r="M88" i="3" s="1"/>
  <c r="M87" i="3" s="1"/>
  <c r="M86" i="3" s="1"/>
  <c r="M85" i="3" s="1"/>
  <c r="M84" i="3" s="1"/>
  <c r="M83" i="3" s="1"/>
  <c r="M82" i="3" s="1"/>
  <c r="M81" i="3" s="1"/>
  <c r="M80" i="3" s="1"/>
  <c r="M79" i="3" s="1"/>
  <c r="M78" i="3" s="1"/>
  <c r="M77" i="3" s="1"/>
  <c r="M76" i="3" s="1"/>
  <c r="M75" i="3" s="1"/>
  <c r="M74" i="3" s="1"/>
  <c r="M73" i="3" s="1"/>
  <c r="M72" i="3" s="1"/>
  <c r="M71" i="3" s="1"/>
  <c r="M70" i="3" s="1"/>
  <c r="M69" i="3" s="1"/>
  <c r="M68" i="3" s="1"/>
  <c r="M67" i="3" s="1"/>
  <c r="M66" i="3" s="1"/>
  <c r="M65" i="3" s="1"/>
  <c r="M64" i="3" s="1"/>
  <c r="M63" i="3" s="1"/>
  <c r="M62" i="3" s="1"/>
  <c r="M61" i="3" s="1"/>
  <c r="M60" i="3" s="1"/>
  <c r="M59" i="3" s="1"/>
  <c r="M58" i="3" s="1"/>
  <c r="M57" i="3" s="1"/>
  <c r="M56" i="3" s="1"/>
  <c r="M55" i="3" s="1"/>
  <c r="M54" i="3" s="1"/>
  <c r="M53" i="3" s="1"/>
  <c r="M52" i="3" s="1"/>
  <c r="M51" i="3" s="1"/>
  <c r="M50" i="3" s="1"/>
  <c r="M49" i="3" s="1"/>
  <c r="M48" i="3" s="1"/>
  <c r="M47" i="3" s="1"/>
  <c r="M46" i="3" s="1"/>
  <c r="M45" i="3" s="1"/>
  <c r="M44" i="3" s="1"/>
  <c r="M43" i="3" s="1"/>
  <c r="M42" i="3" s="1"/>
  <c r="M41" i="3" s="1"/>
  <c r="M40" i="3" s="1"/>
  <c r="M39" i="3" s="1"/>
  <c r="M38" i="3" s="1"/>
  <c r="M37" i="3" s="1"/>
  <c r="M36" i="3" s="1"/>
  <c r="M35" i="3" s="1"/>
  <c r="M34" i="3" s="1"/>
  <c r="M33" i="3" s="1"/>
  <c r="M32" i="3" s="1"/>
  <c r="M31" i="3" s="1"/>
  <c r="M30" i="3" s="1"/>
  <c r="M29" i="3" s="1"/>
  <c r="M28" i="3" s="1"/>
  <c r="M27" i="3" s="1"/>
  <c r="M26" i="3" s="1"/>
  <c r="M25" i="3" s="1"/>
  <c r="M24" i="3" s="1"/>
  <c r="M23" i="3" s="1"/>
  <c r="M22" i="3" s="1"/>
  <c r="M21" i="3" s="1"/>
  <c r="M20" i="3" s="1"/>
  <c r="M19" i="3" s="1"/>
  <c r="M18" i="3" s="1"/>
  <c r="M17" i="3" s="1"/>
  <c r="M16" i="3" s="1"/>
  <c r="M15" i="3" s="1"/>
  <c r="M14" i="3" s="1"/>
  <c r="M13" i="3" s="1"/>
  <c r="M12" i="3" s="1"/>
  <c r="M11" i="3" s="1"/>
  <c r="M10" i="3" s="1"/>
  <c r="M9" i="3" s="1"/>
  <c r="M8" i="3" s="1"/>
  <c r="M7" i="3" s="1"/>
  <c r="M6" i="3" s="1"/>
  <c r="M5" i="3" s="1"/>
  <c r="M4" i="3" s="1"/>
  <c r="M252" i="2"/>
  <c r="P4" i="2"/>
  <c r="P5" i="2" s="1"/>
  <c r="P3" i="1"/>
  <c r="P4" i="1"/>
  <c r="P5" i="1" s="1"/>
  <c r="M251" i="2" l="1"/>
  <c r="M250" i="2" l="1"/>
  <c r="M249" i="2" s="1"/>
  <c r="M248" i="2" s="1"/>
  <c r="M247" i="2" s="1"/>
  <c r="M246" i="2" s="1"/>
  <c r="M245" i="2" s="1"/>
  <c r="M244" i="2" s="1"/>
  <c r="M243" i="2" s="1"/>
  <c r="M242" i="2" s="1"/>
  <c r="M241" i="2" s="1"/>
  <c r="M240" i="2" s="1"/>
  <c r="M239" i="2" s="1"/>
  <c r="M238" i="2" s="1"/>
  <c r="M237" i="2" s="1"/>
  <c r="M236" i="2" s="1"/>
  <c r="M235" i="2" s="1"/>
  <c r="M234" i="2" s="1"/>
  <c r="M233" i="2" s="1"/>
  <c r="M232" i="2" s="1"/>
  <c r="M231" i="2" s="1"/>
  <c r="M230" i="2" s="1"/>
  <c r="M229" i="2" s="1"/>
  <c r="M228" i="2" s="1"/>
  <c r="M227" i="2" s="1"/>
  <c r="M226" i="2" s="1"/>
  <c r="M225" i="2" s="1"/>
  <c r="M224" i="2" s="1"/>
  <c r="M223" i="2" s="1"/>
  <c r="M222" i="2" s="1"/>
  <c r="M221" i="2" s="1"/>
  <c r="M220" i="2" s="1"/>
  <c r="M219" i="2" s="1"/>
  <c r="M218" i="2" s="1"/>
  <c r="M217" i="2" s="1"/>
  <c r="M216" i="2" s="1"/>
  <c r="M215" i="2" s="1"/>
  <c r="M214" i="2" s="1"/>
  <c r="M213" i="2" s="1"/>
  <c r="M212" i="2" s="1"/>
  <c r="M211" i="2" s="1"/>
  <c r="M210" i="2" s="1"/>
  <c r="M209" i="2" s="1"/>
  <c r="M208" i="2" s="1"/>
  <c r="M207" i="2" s="1"/>
  <c r="M206" i="2" s="1"/>
  <c r="M205" i="2" s="1"/>
  <c r="M204" i="2" s="1"/>
  <c r="M203" i="2" s="1"/>
  <c r="M202" i="2" s="1"/>
  <c r="M201" i="2" s="1"/>
  <c r="M200" i="2" s="1"/>
  <c r="M199" i="2" s="1"/>
  <c r="M198" i="2" s="1"/>
  <c r="M197" i="2" s="1"/>
  <c r="M196" i="2" s="1"/>
  <c r="M195" i="2" s="1"/>
  <c r="M194" i="2" s="1"/>
  <c r="M193" i="2" s="1"/>
  <c r="M192" i="2" s="1"/>
  <c r="M191" i="2" s="1"/>
  <c r="M190" i="2" s="1"/>
  <c r="M189" i="2" s="1"/>
  <c r="M188" i="2" s="1"/>
  <c r="M187" i="2" s="1"/>
  <c r="M186" i="2" s="1"/>
  <c r="M185" i="2" s="1"/>
  <c r="M184" i="2" s="1"/>
  <c r="M183" i="2" s="1"/>
  <c r="M182" i="2" s="1"/>
  <c r="M181" i="2" s="1"/>
  <c r="M180" i="2" s="1"/>
  <c r="M179" i="2" s="1"/>
  <c r="M178" i="2" s="1"/>
  <c r="M177" i="2" s="1"/>
  <c r="M176" i="2" s="1"/>
  <c r="M175" i="2" s="1"/>
  <c r="M174" i="2" s="1"/>
  <c r="M173" i="2" s="1"/>
  <c r="M172" i="2" s="1"/>
  <c r="M171" i="2" s="1"/>
  <c r="M170" i="2" s="1"/>
  <c r="M169" i="2" s="1"/>
  <c r="M168" i="2" s="1"/>
  <c r="M167" i="2" s="1"/>
  <c r="M166" i="2" s="1"/>
  <c r="M165" i="2" s="1"/>
  <c r="M164" i="2" s="1"/>
  <c r="M163" i="2" s="1"/>
  <c r="M162" i="2" s="1"/>
  <c r="M161" i="2" s="1"/>
  <c r="M160" i="2" s="1"/>
  <c r="M159" i="2" s="1"/>
  <c r="M158" i="2" s="1"/>
  <c r="M157" i="2" s="1"/>
  <c r="M156" i="2" s="1"/>
  <c r="M155" i="2" s="1"/>
  <c r="M154" i="2" s="1"/>
  <c r="M153" i="2" s="1"/>
  <c r="M152" i="2" s="1"/>
  <c r="M151" i="2" s="1"/>
  <c r="M150" i="2" s="1"/>
  <c r="M149" i="2" s="1"/>
  <c r="M148" i="2" s="1"/>
  <c r="M147" i="2" s="1"/>
  <c r="M146" i="2" s="1"/>
  <c r="M145" i="2" s="1"/>
  <c r="M144" i="2" s="1"/>
  <c r="M143" i="2" s="1"/>
  <c r="M142" i="2" s="1"/>
  <c r="M141" i="2" s="1"/>
  <c r="M140" i="2" s="1"/>
  <c r="M139" i="2" s="1"/>
  <c r="M138" i="2" s="1"/>
  <c r="M137" i="2" s="1"/>
  <c r="M136" i="2" s="1"/>
  <c r="M135" i="2" s="1"/>
  <c r="M134" i="2" s="1"/>
  <c r="M133" i="2" s="1"/>
  <c r="M132" i="2" s="1"/>
  <c r="M131" i="2" s="1"/>
  <c r="M130" i="2" s="1"/>
  <c r="M129" i="2" s="1"/>
  <c r="M128" i="2" s="1"/>
  <c r="M127" i="2" s="1"/>
  <c r="M126" i="2" s="1"/>
  <c r="M125" i="2" s="1"/>
  <c r="M124" i="2" s="1"/>
  <c r="M123" i="2" s="1"/>
  <c r="M122" i="2" s="1"/>
  <c r="M121" i="2" s="1"/>
  <c r="M120" i="2" s="1"/>
  <c r="M119" i="2" s="1"/>
  <c r="M118" i="2" s="1"/>
  <c r="M117" i="2" s="1"/>
  <c r="M116" i="2" s="1"/>
  <c r="M115" i="2" s="1"/>
  <c r="M114" i="2" s="1"/>
  <c r="M113" i="2" s="1"/>
  <c r="M112" i="2" s="1"/>
  <c r="M111" i="2" s="1"/>
  <c r="M110" i="2" s="1"/>
  <c r="M109" i="2" s="1"/>
  <c r="M108" i="2" s="1"/>
  <c r="M107" i="2" s="1"/>
  <c r="M106" i="2" s="1"/>
  <c r="M105" i="2" s="1"/>
  <c r="M104" i="2" s="1"/>
  <c r="M103" i="2" s="1"/>
  <c r="M102" i="2" s="1"/>
  <c r="M101" i="2" s="1"/>
  <c r="M100" i="2" s="1"/>
  <c r="M99" i="2" s="1"/>
  <c r="M98" i="2" s="1"/>
  <c r="M97" i="2" s="1"/>
  <c r="M96" i="2" s="1"/>
  <c r="M95" i="2" s="1"/>
  <c r="M94" i="2" s="1"/>
  <c r="M93" i="2" s="1"/>
  <c r="M92" i="2" s="1"/>
  <c r="M91" i="2" s="1"/>
  <c r="M90" i="2" s="1"/>
  <c r="M89" i="2" s="1"/>
  <c r="M88" i="2" s="1"/>
  <c r="M87" i="2" s="1"/>
  <c r="M86" i="2" s="1"/>
  <c r="M85" i="2" s="1"/>
  <c r="M84" i="2" s="1"/>
  <c r="M83" i="2" s="1"/>
  <c r="M82" i="2" s="1"/>
  <c r="M81" i="2" s="1"/>
  <c r="M80" i="2" s="1"/>
  <c r="M79" i="2" s="1"/>
  <c r="M78" i="2" s="1"/>
  <c r="M77" i="2" s="1"/>
  <c r="M76" i="2" s="1"/>
  <c r="M75" i="2" s="1"/>
  <c r="M74" i="2" s="1"/>
  <c r="M73" i="2" s="1"/>
  <c r="M72" i="2" s="1"/>
  <c r="M71" i="2" s="1"/>
  <c r="M70" i="2" s="1"/>
  <c r="M69" i="2" s="1"/>
  <c r="M68" i="2" s="1"/>
  <c r="M67" i="2" s="1"/>
  <c r="M66" i="2" s="1"/>
  <c r="M65" i="2" s="1"/>
  <c r="M64" i="2" s="1"/>
  <c r="M63" i="2" s="1"/>
  <c r="M62" i="2" s="1"/>
  <c r="M61" i="2" s="1"/>
  <c r="M60" i="2" s="1"/>
  <c r="M59" i="2" s="1"/>
  <c r="M58" i="2" s="1"/>
  <c r="M57" i="2" s="1"/>
  <c r="M56" i="2" s="1"/>
  <c r="M55" i="2" s="1"/>
  <c r="M54" i="2" s="1"/>
  <c r="M53" i="2" s="1"/>
  <c r="M52" i="2" s="1"/>
  <c r="M51" i="2" s="1"/>
  <c r="M50" i="2" s="1"/>
  <c r="M49" i="2" s="1"/>
  <c r="M48" i="2" s="1"/>
  <c r="M47" i="2" s="1"/>
  <c r="M46" i="2" s="1"/>
  <c r="M45" i="2" s="1"/>
  <c r="M44" i="2" s="1"/>
  <c r="M43" i="2" s="1"/>
  <c r="M42" i="2" s="1"/>
  <c r="M41" i="2" s="1"/>
  <c r="M40" i="2" s="1"/>
  <c r="M39" i="2" s="1"/>
  <c r="M38" i="2" s="1"/>
  <c r="M37" i="2" s="1"/>
  <c r="M36" i="2" s="1"/>
  <c r="M35" i="2" s="1"/>
  <c r="M34" i="2" s="1"/>
  <c r="M33" i="2" s="1"/>
  <c r="M32" i="2" s="1"/>
  <c r="M31" i="2" s="1"/>
  <c r="M30" i="2" s="1"/>
  <c r="M29" i="2" s="1"/>
  <c r="M28" i="2" s="1"/>
  <c r="M27" i="2" s="1"/>
  <c r="M26" i="2" s="1"/>
  <c r="M25" i="2" s="1"/>
  <c r="M24" i="2" s="1"/>
  <c r="M23" i="2" s="1"/>
  <c r="M22" i="2" s="1"/>
  <c r="M21" i="2" s="1"/>
  <c r="M20" i="2" s="1"/>
  <c r="M19" i="2" s="1"/>
  <c r="M18" i="2" s="1"/>
  <c r="M17" i="2" s="1"/>
  <c r="M16" i="2" s="1"/>
  <c r="M15" i="2" s="1"/>
  <c r="M14" i="2" s="1"/>
  <c r="M13" i="2" s="1"/>
  <c r="M12" i="2" s="1"/>
  <c r="M11" i="2" s="1"/>
  <c r="M10" i="2" s="1"/>
  <c r="M9" i="2" s="1"/>
  <c r="M8" i="2" s="1"/>
  <c r="M7" i="2" s="1"/>
  <c r="M6" i="2" l="1"/>
  <c r="M5" i="2" s="1"/>
  <c r="M4" i="2" s="1"/>
</calcChain>
</file>

<file path=xl/sharedStrings.xml><?xml version="1.0" encoding="utf-8"?>
<sst xmlns="http://schemas.openxmlformats.org/spreadsheetml/2006/main" count="2749" uniqueCount="1979">
  <si>
    <t>K Wave Media</t>
  </si>
  <si>
    <t>Kenechukwu</t>
  </si>
  <si>
    <t>T Row</t>
  </si>
  <si>
    <t>Date</t>
  </si>
  <si>
    <t>Close/Last</t>
  </si>
  <si>
    <t>Volume</t>
  </si>
  <si>
    <t>Open</t>
  </si>
  <si>
    <t>High</t>
  </si>
  <si>
    <t>Low</t>
  </si>
  <si>
    <t>Daily returns</t>
  </si>
  <si>
    <t>Random Z</t>
  </si>
  <si>
    <t>Sim Values</t>
  </si>
  <si>
    <t xml:space="preserve">Exp return </t>
  </si>
  <si>
    <t>03/18/2026</t>
  </si>
  <si>
    <t>$0.6501</t>
  </si>
  <si>
    <t>$0.70</t>
  </si>
  <si>
    <t>$0.6468</t>
  </si>
  <si>
    <t>Variance</t>
  </si>
  <si>
    <t>03/17/2026</t>
  </si>
  <si>
    <t>$0.632</t>
  </si>
  <si>
    <t>$0.6599</t>
  </si>
  <si>
    <t>$0.6292</t>
  </si>
  <si>
    <t>Std. Dev</t>
  </si>
  <si>
    <t>03/16/2026</t>
  </si>
  <si>
    <t>$0.62</t>
  </si>
  <si>
    <t>$0.6441</t>
  </si>
  <si>
    <t>$0.60</t>
  </si>
  <si>
    <t>03/13/2026</t>
  </si>
  <si>
    <t>$0.63</t>
  </si>
  <si>
    <t>$0.6206</t>
  </si>
  <si>
    <t>$0.6371</t>
  </si>
  <si>
    <t>$0.6201</t>
  </si>
  <si>
    <t>$0.6551</t>
  </si>
  <si>
    <t>$0.7665</t>
  </si>
  <si>
    <t>$0.6017</t>
  </si>
  <si>
    <t>$0.6406</t>
  </si>
  <si>
    <t>$0.7033</t>
  </si>
  <si>
    <t>$0.6569</t>
  </si>
  <si>
    <t>$0.6175</t>
  </si>
  <si>
    <t>$0.6491</t>
  </si>
  <si>
    <t>$0.7199</t>
  </si>
  <si>
    <t>$0.6301</t>
  </si>
  <si>
    <t>$0.65</t>
  </si>
  <si>
    <t>$0.7296</t>
  </si>
  <si>
    <t>$0.611</t>
  </si>
  <si>
    <t>$0.61</t>
  </si>
  <si>
    <t>$0.6399</t>
  </si>
  <si>
    <t>$0.644</t>
  </si>
  <si>
    <t>$0.6131</t>
  </si>
  <si>
    <t>$0.6438</t>
  </si>
  <si>
    <t>$0.654</t>
  </si>
  <si>
    <t>$0.5988</t>
  </si>
  <si>
    <t>02/27/2026</t>
  </si>
  <si>
    <t>$0.6268</t>
  </si>
  <si>
    <t>02/26/2026</t>
  </si>
  <si>
    <t>$0.6855</t>
  </si>
  <si>
    <t>$0.6856</t>
  </si>
  <si>
    <t>$0.636</t>
  </si>
  <si>
    <t>02/25/2026</t>
  </si>
  <si>
    <t>$0.677</t>
  </si>
  <si>
    <t>$0.6895</t>
  </si>
  <si>
    <t>$0.6729</t>
  </si>
  <si>
    <t>02/24/2026</t>
  </si>
  <si>
    <t>$0.7289</t>
  </si>
  <si>
    <t>$0.6826</t>
  </si>
  <si>
    <t>02/23/2026</t>
  </si>
  <si>
    <t>$0.7399</t>
  </si>
  <si>
    <t>$0.7533</t>
  </si>
  <si>
    <t>$0.6709</t>
  </si>
  <si>
    <t>02/20/2026</t>
  </si>
  <si>
    <t>$0.7717</t>
  </si>
  <si>
    <t>$0.7988</t>
  </si>
  <si>
    <t>$0.7445</t>
  </si>
  <si>
    <t>02/19/2026</t>
  </si>
  <si>
    <t>$0.828</t>
  </si>
  <si>
    <t>$0.7623</t>
  </si>
  <si>
    <t>02/18/2026</t>
  </si>
  <si>
    <t>$0.8316</t>
  </si>
  <si>
    <t>$0.8857</t>
  </si>
  <si>
    <t>$0.7916</t>
  </si>
  <si>
    <t>02/17/2026</t>
  </si>
  <si>
    <t>$0.8466</t>
  </si>
  <si>
    <t>$0.8106</t>
  </si>
  <si>
    <t>02/13/2026</t>
  </si>
  <si>
    <t>$0.768</t>
  </si>
  <si>
    <t>$0.8424</t>
  </si>
  <si>
    <t>$0.7695</t>
  </si>
  <si>
    <t>$0.7764</t>
  </si>
  <si>
    <t>$0.75</t>
  </si>
  <si>
    <t>$0.772</t>
  </si>
  <si>
    <t>$0.7838</t>
  </si>
  <si>
    <t>$0.7521</t>
  </si>
  <si>
    <t>$0.82</t>
  </si>
  <si>
    <t>$0.825</t>
  </si>
  <si>
    <t>$0.752</t>
  </si>
  <si>
    <t>$0.80</t>
  </si>
  <si>
    <t>$0.84</t>
  </si>
  <si>
    <t>$0.8092</t>
  </si>
  <si>
    <t>$0.7466</t>
  </si>
  <si>
    <t>$0.8235</t>
  </si>
  <si>
    <t>$0.8485</t>
  </si>
  <si>
    <t>$0.7283</t>
  </si>
  <si>
    <t>$0.8292</t>
  </si>
  <si>
    <t>$0.8639</t>
  </si>
  <si>
    <t>$0.8242</t>
  </si>
  <si>
    <t>$0.8546</t>
  </si>
  <si>
    <t>$0.8699</t>
  </si>
  <si>
    <t>$0.815</t>
  </si>
  <si>
    <t>$0.86</t>
  </si>
  <si>
    <t>$0.8632</t>
  </si>
  <si>
    <t>$0.8363</t>
  </si>
  <si>
    <t>01/30/2026</t>
  </si>
  <si>
    <t>$0.818</t>
  </si>
  <si>
    <t>$0.8608</t>
  </si>
  <si>
    <t>01/29/2026</t>
  </si>
  <si>
    <t>$0.83</t>
  </si>
  <si>
    <t>$0.8452</t>
  </si>
  <si>
    <t>$0.779</t>
  </si>
  <si>
    <t>01/28/2026</t>
  </si>
  <si>
    <t>$0.7982</t>
  </si>
  <si>
    <t>$0.8273</t>
  </si>
  <si>
    <t>$0.7964</t>
  </si>
  <si>
    <t>01/27/2026</t>
  </si>
  <si>
    <t>$0.7737</t>
  </si>
  <si>
    <t>$0.8199</t>
  </si>
  <si>
    <t>$0.74</t>
  </si>
  <si>
    <t>01/26/2026</t>
  </si>
  <si>
    <t>$0.8105</t>
  </si>
  <si>
    <t>$0.8303</t>
  </si>
  <si>
    <t>01/23/2026</t>
  </si>
  <si>
    <t>$0.81</t>
  </si>
  <si>
    <t>$0.8875</t>
  </si>
  <si>
    <t>$0.8022</t>
  </si>
  <si>
    <t>01/22/2026</t>
  </si>
  <si>
    <t>$0.795</t>
  </si>
  <si>
    <t>01/21/2026</t>
  </si>
  <si>
    <t>$0.8891</t>
  </si>
  <si>
    <t>$0.90</t>
  </si>
  <si>
    <t>01/20/2026</t>
  </si>
  <si>
    <t>$0.71</t>
  </si>
  <si>
    <t>$0.6867</t>
  </si>
  <si>
    <t>01/16/2026</t>
  </si>
  <si>
    <t>$0.5363</t>
  </si>
  <si>
    <t>$0.6887</t>
  </si>
  <si>
    <t>01/15/2026</t>
  </si>
  <si>
    <t>$0.489</t>
  </si>
  <si>
    <t>$0.539</t>
  </si>
  <si>
    <t>$0.482</t>
  </si>
  <si>
    <t>01/14/2026</t>
  </si>
  <si>
    <t>$0.465</t>
  </si>
  <si>
    <t>$0.50</t>
  </si>
  <si>
    <t>$0.4624</t>
  </si>
  <si>
    <t>01/13/2026</t>
  </si>
  <si>
    <t>$0.452</t>
  </si>
  <si>
    <t>$0.4702</t>
  </si>
  <si>
    <t>$0.447</t>
  </si>
  <si>
    <t>$0.4675</t>
  </si>
  <si>
    <t>$0.453</t>
  </si>
  <si>
    <t>$0.469</t>
  </si>
  <si>
    <t>$0.4408</t>
  </si>
  <si>
    <t>$0.4743</t>
  </si>
  <si>
    <t>$0.477</t>
  </si>
  <si>
    <t>$0.4209</t>
  </si>
  <si>
    <t>$0.4258</t>
  </si>
  <si>
    <t>$0.49</t>
  </si>
  <si>
    <t>$0.4129</t>
  </si>
  <si>
    <t>$0.4187</t>
  </si>
  <si>
    <t>$0.48</t>
  </si>
  <si>
    <t>$0.4001</t>
  </si>
  <si>
    <t>$0.47</t>
  </si>
  <si>
    <t>$0.4214</t>
  </si>
  <si>
    <t>$0.435</t>
  </si>
  <si>
    <t>$0.4989</t>
  </si>
  <si>
    <t>$0.4201</t>
  </si>
  <si>
    <t>12/31/2025</t>
  </si>
  <si>
    <t>$0.405</t>
  </si>
  <si>
    <t>$0.4177</t>
  </si>
  <si>
    <t>$0.388</t>
  </si>
  <si>
    <t>12/30/2025</t>
  </si>
  <si>
    <t>$0.4145</t>
  </si>
  <si>
    <t>$0.4199</t>
  </si>
  <si>
    <t>$0.3835</t>
  </si>
  <si>
    <t>12/29/2025</t>
  </si>
  <si>
    <t>$0.395</t>
  </si>
  <si>
    <t>$0.41</t>
  </si>
  <si>
    <t>$0.384</t>
  </si>
  <si>
    <t>12/26/2025</t>
  </si>
  <si>
    <t>$0.4275</t>
  </si>
  <si>
    <t>$0.4299</t>
  </si>
  <si>
    <t>$0.39</t>
  </si>
  <si>
    <t>12/24/2025</t>
  </si>
  <si>
    <t>$0.4279</t>
  </si>
  <si>
    <t>$0.4015</t>
  </si>
  <si>
    <t>12/23/2025</t>
  </si>
  <si>
    <t>$0.425</t>
  </si>
  <si>
    <t>$0.3941</t>
  </si>
  <si>
    <t>12/22/2025</t>
  </si>
  <si>
    <t>$0.459</t>
  </si>
  <si>
    <t>$0.4662</t>
  </si>
  <si>
    <t>12/19/2025</t>
  </si>
  <si>
    <t>$0.4402</t>
  </si>
  <si>
    <t>$0.45</t>
  </si>
  <si>
    <t>12/18/2025</t>
  </si>
  <si>
    <t>$0.4551</t>
  </si>
  <si>
    <t>$0.4599</t>
  </si>
  <si>
    <t>$0.413</t>
  </si>
  <si>
    <t>12/17/2025</t>
  </si>
  <si>
    <t>$0.484</t>
  </si>
  <si>
    <t>$0.486</t>
  </si>
  <si>
    <t>12/16/2025</t>
  </si>
  <si>
    <t>$0.5341</t>
  </si>
  <si>
    <t>$0.54</t>
  </si>
  <si>
    <t>$0.4565</t>
  </si>
  <si>
    <t>12/15/2025</t>
  </si>
  <si>
    <t>$0.6004</t>
  </si>
  <si>
    <t>$0.6248</t>
  </si>
  <si>
    <t>$0.467</t>
  </si>
  <si>
    <t>$0.687</t>
  </si>
  <si>
    <t>$0.6638</t>
  </si>
  <si>
    <t>$0.6899</t>
  </si>
  <si>
    <t>$0.6147</t>
  </si>
  <si>
    <t>$0.696</t>
  </si>
  <si>
    <t>$0.72</t>
  </si>
  <si>
    <t>$0.66</t>
  </si>
  <si>
    <t>$0.7413</t>
  </si>
  <si>
    <t>$0.6684</t>
  </si>
  <si>
    <t>$0.8103</t>
  </si>
  <si>
    <t>$0.73</t>
  </si>
  <si>
    <t>$0.78</t>
  </si>
  <si>
    <t>$0.7355</t>
  </si>
  <si>
    <t>$0.734</t>
  </si>
  <si>
    <t>$0.7899</t>
  </si>
  <si>
    <t>$0.701</t>
  </si>
  <si>
    <t>$0.79</t>
  </si>
  <si>
    <t>$0.716</t>
  </si>
  <si>
    <t>$0.816</t>
  </si>
  <si>
    <t>11/28/2025</t>
  </si>
  <si>
    <t>$0.7975</t>
  </si>
  <si>
    <t>$0.68</t>
  </si>
  <si>
    <t>11/26/2025</t>
  </si>
  <si>
    <t>$0.58</t>
  </si>
  <si>
    <t>$0.57</t>
  </si>
  <si>
    <t>11/25/2025</t>
  </si>
  <si>
    <t>$0.758</t>
  </si>
  <si>
    <t>$0.789</t>
  </si>
  <si>
    <t>$0.485</t>
  </si>
  <si>
    <t>11/24/2025</t>
  </si>
  <si>
    <t>$0.7518</t>
  </si>
  <si>
    <t>$1.20</t>
  </si>
  <si>
    <t>11/21/2025</t>
  </si>
  <si>
    <t>$0.9991</t>
  </si>
  <si>
    <t>$1.00</t>
  </si>
  <si>
    <t>$0.665</t>
  </si>
  <si>
    <t>11/20/2025</t>
  </si>
  <si>
    <t>$1.22</t>
  </si>
  <si>
    <t>$0.9281</t>
  </si>
  <si>
    <t>11/19/2025</t>
  </si>
  <si>
    <t>$1.30</t>
  </si>
  <si>
    <t>$1.345</t>
  </si>
  <si>
    <t>$1.26</t>
  </si>
  <si>
    <t>11/18/2025</t>
  </si>
  <si>
    <t>$1.48</t>
  </si>
  <si>
    <t>11/17/2025</t>
  </si>
  <si>
    <t>$1.90</t>
  </si>
  <si>
    <t>11/14/2025</t>
  </si>
  <si>
    <t>$1.36</t>
  </si>
  <si>
    <t>$1.10</t>
  </si>
  <si>
    <t>11/13/2025</t>
  </si>
  <si>
    <t>$1.51</t>
  </si>
  <si>
    <t>$1.5322</t>
  </si>
  <si>
    <t>$1.31</t>
  </si>
  <si>
    <t>$1.57</t>
  </si>
  <si>
    <t>$1.644</t>
  </si>
  <si>
    <t>$1.62</t>
  </si>
  <si>
    <t>$1.65</t>
  </si>
  <si>
    <t>$1.67</t>
  </si>
  <si>
    <t>$1.73</t>
  </si>
  <si>
    <t>$1.50</t>
  </si>
  <si>
    <t>$1.63</t>
  </si>
  <si>
    <t>$1.66</t>
  </si>
  <si>
    <t>$1.495</t>
  </si>
  <si>
    <t>$1.76</t>
  </si>
  <si>
    <t>$1.69</t>
  </si>
  <si>
    <t>$1.74</t>
  </si>
  <si>
    <t>$1.775</t>
  </si>
  <si>
    <t>$1.68</t>
  </si>
  <si>
    <t>$1.85</t>
  </si>
  <si>
    <t>$1.86</t>
  </si>
  <si>
    <t>$1.715</t>
  </si>
  <si>
    <t>$1.95</t>
  </si>
  <si>
    <t>$1.965</t>
  </si>
  <si>
    <t>$1.82</t>
  </si>
  <si>
    <t>10/31/2025</t>
  </si>
  <si>
    <t>$1.9756</t>
  </si>
  <si>
    <t>10/30/2025</t>
  </si>
  <si>
    <t>$2.00</t>
  </si>
  <si>
    <t>$2.0184</t>
  </si>
  <si>
    <t>$1.89</t>
  </si>
  <si>
    <t>10/29/2025</t>
  </si>
  <si>
    <t>$2.07</t>
  </si>
  <si>
    <t>$2.11</t>
  </si>
  <si>
    <t>$1.99</t>
  </si>
  <si>
    <t>10/28/2025</t>
  </si>
  <si>
    <t>$1.96</t>
  </si>
  <si>
    <t>$1.92</t>
  </si>
  <si>
    <t>10/27/2025</t>
  </si>
  <si>
    <t>$2.1092</t>
  </si>
  <si>
    <t>$1.98</t>
  </si>
  <si>
    <t>10/24/2025</t>
  </si>
  <si>
    <t>$2.19</t>
  </si>
  <si>
    <t>$2.04</t>
  </si>
  <si>
    <t>10/23/2025</t>
  </si>
  <si>
    <t>$2.26</t>
  </si>
  <si>
    <t>$2.01</t>
  </si>
  <si>
    <t>10/22/2025</t>
  </si>
  <si>
    <t>$2.20</t>
  </si>
  <si>
    <t>$2.25</t>
  </si>
  <si>
    <t>$2.1149</t>
  </si>
  <si>
    <t>10/21/2025</t>
  </si>
  <si>
    <t>$2.18</t>
  </si>
  <si>
    <t>$2.2692</t>
  </si>
  <si>
    <t>10/20/2025</t>
  </si>
  <si>
    <t>$2.23</t>
  </si>
  <si>
    <t>$2.318</t>
  </si>
  <si>
    <t>10/17/2025</t>
  </si>
  <si>
    <t>$2.41</t>
  </si>
  <si>
    <t>$2.43</t>
  </si>
  <si>
    <t>$2.1401</t>
  </si>
  <si>
    <t>10/16/2025</t>
  </si>
  <si>
    <t>$3.16</t>
  </si>
  <si>
    <t>$3.3299</t>
  </si>
  <si>
    <t>$2.45</t>
  </si>
  <si>
    <t>10/15/2025</t>
  </si>
  <si>
    <t>$3.24</t>
  </si>
  <si>
    <t>$3.25</t>
  </si>
  <si>
    <t>$2.94</t>
  </si>
  <si>
    <t>10/14/2025</t>
  </si>
  <si>
    <t>$2.85</t>
  </si>
  <si>
    <t>$3.065</t>
  </si>
  <si>
    <t>$2.66</t>
  </si>
  <si>
    <t>10/13/2025</t>
  </si>
  <si>
    <t>$2.56</t>
  </si>
  <si>
    <t>$2.695</t>
  </si>
  <si>
    <t>$2.5201</t>
  </si>
  <si>
    <t>$2.53</t>
  </si>
  <si>
    <t>$2.69</t>
  </si>
  <si>
    <t>$2.42</t>
  </si>
  <si>
    <t>$2.58</t>
  </si>
  <si>
    <t>$2.61</t>
  </si>
  <si>
    <t>$2.33</t>
  </si>
  <si>
    <t>$2.77</t>
  </si>
  <si>
    <t>$2.79</t>
  </si>
  <si>
    <t>$2.55</t>
  </si>
  <si>
    <t>$2.99</t>
  </si>
  <si>
    <t>$2.70</t>
  </si>
  <si>
    <t>$3.06</t>
  </si>
  <si>
    <t>$3.187</t>
  </si>
  <si>
    <t>$2.749</t>
  </si>
  <si>
    <t>$2.71</t>
  </si>
  <si>
    <t>$2.91</t>
  </si>
  <si>
    <t>$2.68</t>
  </si>
  <si>
    <t>$2.50</t>
  </si>
  <si>
    <t>$2.49</t>
  </si>
  <si>
    <t>$2.38</t>
  </si>
  <si>
    <t>09/30/2025</t>
  </si>
  <si>
    <t>$2.51</t>
  </si>
  <si>
    <t>$2.54</t>
  </si>
  <si>
    <t>09/29/2025</t>
  </si>
  <si>
    <t>$2.4207</t>
  </si>
  <si>
    <t>09/26/2025</t>
  </si>
  <si>
    <t>$2.65</t>
  </si>
  <si>
    <t>09/25/2025</t>
  </si>
  <si>
    <t>$2.37</t>
  </si>
  <si>
    <t>$2.455</t>
  </si>
  <si>
    <t>09/24/2025</t>
  </si>
  <si>
    <t>$2.31</t>
  </si>
  <si>
    <t>$2.39</t>
  </si>
  <si>
    <t>09/23/2025</t>
  </si>
  <si>
    <t>$2.47</t>
  </si>
  <si>
    <t>09/22/2025</t>
  </si>
  <si>
    <t>$2.30</t>
  </si>
  <si>
    <t>$2.62</t>
  </si>
  <si>
    <t>09/19/2025</t>
  </si>
  <si>
    <t>$2.325</t>
  </si>
  <si>
    <t>$2.24</t>
  </si>
  <si>
    <t>09/18/2025</t>
  </si>
  <si>
    <t>$2.34</t>
  </si>
  <si>
    <t>09/17/2025</t>
  </si>
  <si>
    <t>09/16/2025</t>
  </si>
  <si>
    <t>$2.28</t>
  </si>
  <si>
    <t>$2.44</t>
  </si>
  <si>
    <t>09/15/2025</t>
  </si>
  <si>
    <t>$2.08</t>
  </si>
  <si>
    <t>$2.3397</t>
  </si>
  <si>
    <t>$2.02</t>
  </si>
  <si>
    <t>$2.3723</t>
  </si>
  <si>
    <t>$2.17</t>
  </si>
  <si>
    <t>$2.10</t>
  </si>
  <si>
    <t>$2.5499</t>
  </si>
  <si>
    <t>$2.40</t>
  </si>
  <si>
    <t>$3.15</t>
  </si>
  <si>
    <t>$2.05</t>
  </si>
  <si>
    <t>$2.03</t>
  </si>
  <si>
    <t>$2.15</t>
  </si>
  <si>
    <t>$1.77</t>
  </si>
  <si>
    <t>$1.7306</t>
  </si>
  <si>
    <t>08/29/2025</t>
  </si>
  <si>
    <t>08/28/2025</t>
  </si>
  <si>
    <t>$1.78</t>
  </si>
  <si>
    <t>$1.7701</t>
  </si>
  <si>
    <t>08/27/2025</t>
  </si>
  <si>
    <t>$1.895</t>
  </si>
  <si>
    <t>$1.84</t>
  </si>
  <si>
    <t>08/26/2025</t>
  </si>
  <si>
    <t>$1.97</t>
  </si>
  <si>
    <t>$1.88</t>
  </si>
  <si>
    <t>08/25/2025</t>
  </si>
  <si>
    <t>$1.93</t>
  </si>
  <si>
    <t>08/22/2025</t>
  </si>
  <si>
    <t>$2.14</t>
  </si>
  <si>
    <t>08/21/2025</t>
  </si>
  <si>
    <t>08/20/2025</t>
  </si>
  <si>
    <t>$2.0901</t>
  </si>
  <si>
    <t>08/19/2025</t>
  </si>
  <si>
    <t>$2.48</t>
  </si>
  <si>
    <t>$2.36</t>
  </si>
  <si>
    <t>08/18/2025</t>
  </si>
  <si>
    <t>$2.4801</t>
  </si>
  <si>
    <t>08/15/2025</t>
  </si>
  <si>
    <t>$2.6793</t>
  </si>
  <si>
    <t>08/14/2025</t>
  </si>
  <si>
    <t>$2.78</t>
  </si>
  <si>
    <t>08/13/2025</t>
  </si>
  <si>
    <t>$2.97</t>
  </si>
  <si>
    <t>$3.04</t>
  </si>
  <si>
    <t>$3.52</t>
  </si>
  <si>
    <t>$3.80</t>
  </si>
  <si>
    <t>$3.87</t>
  </si>
  <si>
    <t>$3.50</t>
  </si>
  <si>
    <t>$3.83</t>
  </si>
  <si>
    <t>$3.97</t>
  </si>
  <si>
    <t>$3.86</t>
  </si>
  <si>
    <t>$3.70</t>
  </si>
  <si>
    <t>$3.84</t>
  </si>
  <si>
    <t>$3.93</t>
  </si>
  <si>
    <t>$3.90</t>
  </si>
  <si>
    <t>$3.915</t>
  </si>
  <si>
    <t>$3.79</t>
  </si>
  <si>
    <t>$3.78</t>
  </si>
  <si>
    <t>$3.611</t>
  </si>
  <si>
    <t>07/31/2025</t>
  </si>
  <si>
    <t>$3.92</t>
  </si>
  <si>
    <t>$3.99</t>
  </si>
  <si>
    <t>$3.82</t>
  </si>
  <si>
    <t>07/30/2025</t>
  </si>
  <si>
    <t>$3.88</t>
  </si>
  <si>
    <t>$4.15</t>
  </si>
  <si>
    <t>07/29/2025</t>
  </si>
  <si>
    <t>$3.98</t>
  </si>
  <si>
    <t>$4.03</t>
  </si>
  <si>
    <t>07/28/2025</t>
  </si>
  <si>
    <t>$4.13</t>
  </si>
  <si>
    <t>$4.27</t>
  </si>
  <si>
    <t>07/25/2025</t>
  </si>
  <si>
    <t>$3.95</t>
  </si>
  <si>
    <t>07/24/2025</t>
  </si>
  <si>
    <t>$4.00</t>
  </si>
  <si>
    <t>07/23/2025</t>
  </si>
  <si>
    <t>$4.26</t>
  </si>
  <si>
    <t>$4.12</t>
  </si>
  <si>
    <t>07/22/2025</t>
  </si>
  <si>
    <t>$4.30</t>
  </si>
  <si>
    <t>$4.37</t>
  </si>
  <si>
    <t>07/21/2025</t>
  </si>
  <si>
    <t>$4.58</t>
  </si>
  <si>
    <t>07/18/2025</t>
  </si>
  <si>
    <t>$4.3777</t>
  </si>
  <si>
    <t>$4.1503</t>
  </si>
  <si>
    <t>07/17/2025</t>
  </si>
  <si>
    <t>$4.38</t>
  </si>
  <si>
    <t>$4.14</t>
  </si>
  <si>
    <t>07/16/2025</t>
  </si>
  <si>
    <t>$4.41</t>
  </si>
  <si>
    <t>$4.4518</t>
  </si>
  <si>
    <t>07/15/2025</t>
  </si>
  <si>
    <t>$4.76</t>
  </si>
  <si>
    <t>$4.871</t>
  </si>
  <si>
    <t>$4.18</t>
  </si>
  <si>
    <t>07/14/2025</t>
  </si>
  <si>
    <t>$4.97</t>
  </si>
  <si>
    <t>$5.0546</t>
  </si>
  <si>
    <t>$4.50</t>
  </si>
  <si>
    <t>$4.86</t>
  </si>
  <si>
    <t>$5.2299</t>
  </si>
  <si>
    <t>$4.6612</t>
  </si>
  <si>
    <t>$5.55</t>
  </si>
  <si>
    <t>$5.57</t>
  </si>
  <si>
    <t>$4.44</t>
  </si>
  <si>
    <t>$5.31</t>
  </si>
  <si>
    <t>$5.70</t>
  </si>
  <si>
    <t>$5.30</t>
  </si>
  <si>
    <t>$5.28</t>
  </si>
  <si>
    <t>$5.445</t>
  </si>
  <si>
    <t>$5.01</t>
  </si>
  <si>
    <t>$4.64</t>
  </si>
  <si>
    <t>$5.25</t>
  </si>
  <si>
    <t>$3.47</t>
  </si>
  <si>
    <t>$3.878</t>
  </si>
  <si>
    <t>$3.43</t>
  </si>
  <si>
    <t>$3.7035</t>
  </si>
  <si>
    <t>$3.39</t>
  </si>
  <si>
    <t>06/30/2025</t>
  </si>
  <si>
    <t>$3.77</t>
  </si>
  <si>
    <t>$3.31</t>
  </si>
  <si>
    <t>06/27/2025</t>
  </si>
  <si>
    <t>$3.65</t>
  </si>
  <si>
    <t>06/26/2025</t>
  </si>
  <si>
    <t>06/25/2025</t>
  </si>
  <si>
    <t>$4.35</t>
  </si>
  <si>
    <t>$3.76</t>
  </si>
  <si>
    <t>06/24/2025</t>
  </si>
  <si>
    <t>$3.64</t>
  </si>
  <si>
    <t>06/23/2025</t>
  </si>
  <si>
    <t>$4.10</t>
  </si>
  <si>
    <t>$4.1385</t>
  </si>
  <si>
    <t>$3.30</t>
  </si>
  <si>
    <t>06/20/2025</t>
  </si>
  <si>
    <t>$4.75</t>
  </si>
  <si>
    <t>06/18/2025</t>
  </si>
  <si>
    <t>$4.65</t>
  </si>
  <si>
    <t>$4.99</t>
  </si>
  <si>
    <t>06/17/2025</t>
  </si>
  <si>
    <t>$3.74</t>
  </si>
  <si>
    <t>$4.85</t>
  </si>
  <si>
    <t>06/16/2025</t>
  </si>
  <si>
    <t>$4.08</t>
  </si>
  <si>
    <t>$3.53</t>
  </si>
  <si>
    <t>06/13/2025</t>
  </si>
  <si>
    <t>$5.78</t>
  </si>
  <si>
    <t>$5.8536</t>
  </si>
  <si>
    <t>$6.61</t>
  </si>
  <si>
    <t>$6.95</t>
  </si>
  <si>
    <t>$5.80</t>
  </si>
  <si>
    <t>$7.355</t>
  </si>
  <si>
    <t>$7.5825</t>
  </si>
  <si>
    <t>$6.03</t>
  </si>
  <si>
    <t>$5.07</t>
  </si>
  <si>
    <t>$8.4798</t>
  </si>
  <si>
    <t>$5.738</t>
  </si>
  <si>
    <t>$3.81</t>
  </si>
  <si>
    <t>$3.94</t>
  </si>
  <si>
    <t>$3.2201</t>
  </si>
  <si>
    <t>$4.83</t>
  </si>
  <si>
    <t>$4.90</t>
  </si>
  <si>
    <t>$3.2362</t>
  </si>
  <si>
    <t>$6.4699</t>
  </si>
  <si>
    <t>$3.68</t>
  </si>
  <si>
    <t>$1.64</t>
  </si>
  <si>
    <t>$1.7599</t>
  </si>
  <si>
    <t>$1.61</t>
  </si>
  <si>
    <t>05/30/2025</t>
  </si>
  <si>
    <t>$1.70</t>
  </si>
  <si>
    <t>05/29/2025</t>
  </si>
  <si>
    <t>$1.7083</t>
  </si>
  <si>
    <t>$1.52</t>
  </si>
  <si>
    <t>05/28/2025</t>
  </si>
  <si>
    <t>$1.695</t>
  </si>
  <si>
    <t>$1.71</t>
  </si>
  <si>
    <t>05/27/2025</t>
  </si>
  <si>
    <t>$1.862</t>
  </si>
  <si>
    <t>05/23/2025</t>
  </si>
  <si>
    <t>05/22/2025</t>
  </si>
  <si>
    <t>05/21/2025</t>
  </si>
  <si>
    <t>$1.75</t>
  </si>
  <si>
    <t>$1.56</t>
  </si>
  <si>
    <t>05/20/2025</t>
  </si>
  <si>
    <t>05/19/2025</t>
  </si>
  <si>
    <t>05/16/2025</t>
  </si>
  <si>
    <t>05/15/2025</t>
  </si>
  <si>
    <t>$3.00</t>
  </si>
  <si>
    <t>$1.60</t>
  </si>
  <si>
    <t>05/14/2025</t>
  </si>
  <si>
    <t>$4.19</t>
  </si>
  <si>
    <t>05/13/2025</t>
  </si>
  <si>
    <t>$7.50</t>
  </si>
  <si>
    <t>$10.50</t>
  </si>
  <si>
    <t>$2.95</t>
  </si>
  <si>
    <t>$7.20</t>
  </si>
  <si>
    <t>$7.15</t>
  </si>
  <si>
    <t>$7.25</t>
  </si>
  <si>
    <t>$7.00</t>
  </si>
  <si>
    <t>$7.30</t>
  </si>
  <si>
    <t>$7.10</t>
  </si>
  <si>
    <t>$7.28</t>
  </si>
  <si>
    <t>$7.40</t>
  </si>
  <si>
    <t>$7.35</t>
  </si>
  <si>
    <t>04/30/2025</t>
  </si>
  <si>
    <t>04/29/2025</t>
  </si>
  <si>
    <t>$8.00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</si>
  <si>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</si>
  <si>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</si>
  <si>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</si>
  <si>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</si>
  <si>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</si>
  <si>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</si>
  <si>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</si>
  <si>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</si>
  <si>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</si>
  <si>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$9.50</t>
  </si>
  <si>
    <t>04/14/2025</t>
  </si>
  <si>
    <t>$7.80</t>
  </si>
  <si>
    <t>$8.20</t>
  </si>
  <si>
    <t>$8.25</t>
  </si>
  <si>
    <t>$7.96</t>
  </si>
  <si>
    <t>$6.00</t>
  </si>
  <si>
    <t>$8.40</t>
  </si>
  <si>
    <t>$7.90</t>
  </si>
  <si>
    <t>$8.05</t>
  </si>
  <si>
    <t>$8.10</t>
  </si>
  <si>
    <t>$10.00</t>
  </si>
  <si>
    <t>$8.08</t>
  </si>
  <si>
    <t>$5.00</t>
  </si>
  <si>
    <t>$8.325</t>
  </si>
  <si>
    <t>$7.70</t>
  </si>
  <si>
    <t>$8.35</t>
  </si>
  <si>
    <t>03/31/2025</t>
  </si>
  <si>
    <t>$8.50</t>
  </si>
  <si>
    <t>03/28/2025</t>
  </si>
  <si>
    <t>$12.00</t>
  </si>
  <si>
    <t>03/27/2025</t>
  </si>
  <si>
    <t>$9.075</t>
  </si>
  <si>
    <t>$8.01</t>
  </si>
  <si>
    <t>03/26/2025</t>
  </si>
  <si>
    <t>$8.88</t>
  </si>
  <si>
    <t>03/25/2025</t>
  </si>
  <si>
    <t>03/24/2025</t>
  </si>
  <si>
    <t>$6.50</t>
  </si>
  <si>
    <t>$6.40</t>
  </si>
  <si>
    <t>03/21/2025</t>
  </si>
  <si>
    <t>$3.51</t>
  </si>
  <si>
    <t>03/20/2025</t>
  </si>
  <si>
    <t>$6.60</t>
  </si>
  <si>
    <t>$3.11</t>
  </si>
  <si>
    <t>03/19/2025</t>
  </si>
  <si>
    <t>$6.35</t>
  </si>
  <si>
    <t>Daily Returns</t>
  </si>
  <si>
    <t>Simulation Values</t>
  </si>
  <si>
    <t>Avg Returns</t>
  </si>
  <si>
    <t>$616.34</t>
  </si>
  <si>
    <t>$622.65</t>
  </si>
  <si>
    <t>$614.61</t>
  </si>
  <si>
    <t>$627.985</t>
  </si>
  <si>
    <t>$636.55</t>
  </si>
  <si>
    <t>$621.70</t>
  </si>
  <si>
    <t>Standard Deviation</t>
  </si>
  <si>
    <t>$632.00</t>
  </si>
  <si>
    <t>$634.75</t>
  </si>
  <si>
    <t>$623.1004</t>
  </si>
  <si>
    <t>$623.89</t>
  </si>
  <si>
    <t>$629.1699</t>
  </si>
  <si>
    <t>$609.55</t>
  </si>
  <si>
    <t>$648.75</t>
  </si>
  <si>
    <t>$653.50</t>
  </si>
  <si>
    <t>$636.90</t>
  </si>
  <si>
    <t>$654.76</t>
  </si>
  <si>
    <t>$659.12</t>
  </si>
  <si>
    <t>$648.36</t>
  </si>
  <si>
    <t>$653.56</t>
  </si>
  <si>
    <t>$660.30</t>
  </si>
  <si>
    <t>$649.00</t>
  </si>
  <si>
    <t>$634.78</t>
  </si>
  <si>
    <t>$647.75</t>
  </si>
  <si>
    <t>$626.78</t>
  </si>
  <si>
    <t>$647.90</t>
  </si>
  <si>
    <t>$649.47</t>
  </si>
  <si>
    <t>$636.11</t>
  </si>
  <si>
    <t>$661.93</t>
  </si>
  <si>
    <t>$670.70</t>
  </si>
  <si>
    <t>$650.31</t>
  </si>
  <si>
    <t>$657.96</t>
  </si>
  <si>
    <t>$672.77</t>
  </si>
  <si>
    <t>$657.6711</t>
  </si>
  <si>
    <t>$648.29</t>
  </si>
  <si>
    <t>$659.04</t>
  </si>
  <si>
    <t>$638.84</t>
  </si>
  <si>
    <t>$637.16</t>
  </si>
  <si>
    <t>$659.94</t>
  </si>
  <si>
    <t>$634.50</t>
  </si>
  <si>
    <t>$643.45</t>
  </si>
  <si>
    <t>$649.44</t>
  </si>
  <si>
    <t>$638.12</t>
  </si>
  <si>
    <t>$650.55</t>
  </si>
  <si>
    <t>$661.00</t>
  </si>
  <si>
    <t>$647.50</t>
  </si>
  <si>
    <t>$642.53</t>
  </si>
  <si>
    <t>$653.88</t>
  </si>
  <si>
    <t>$642.14</t>
  </si>
  <si>
    <t>$633.08</t>
  </si>
  <si>
    <t>$641.11</t>
  </si>
  <si>
    <t>$628.98</t>
  </si>
  <si>
    <t>$652.54</t>
  </si>
  <si>
    <t>$657.70</t>
  </si>
  <si>
    <t>$636.00</t>
  </si>
  <si>
    <t>$639.685</t>
  </si>
  <si>
    <t>$663.3499</t>
  </si>
  <si>
    <t>$638.78</t>
  </si>
  <si>
    <t>$638.57</t>
  </si>
  <si>
    <t>$647.19</t>
  </si>
  <si>
    <t>$636.72</t>
  </si>
  <si>
    <t>$633.80</t>
  </si>
  <si>
    <t>$645.00</t>
  </si>
  <si>
    <t>$628.145</t>
  </si>
  <si>
    <t>$639.495</t>
  </si>
  <si>
    <t>$642.60</t>
  </si>
  <si>
    <t>$628.80</t>
  </si>
  <si>
    <t>$645.10</t>
  </si>
  <si>
    <t>$651.4299</t>
  </si>
  <si>
    <t>$634.57</t>
  </si>
  <si>
    <t>$669.97</t>
  </si>
  <si>
    <t>$676.00</t>
  </si>
  <si>
    <t>$645.28</t>
  </si>
  <si>
    <t>$674.00</t>
  </si>
  <si>
    <t>$679.2675</t>
  </si>
  <si>
    <t>$657.10</t>
  </si>
  <si>
    <t>$677.60</t>
  </si>
  <si>
    <t>$680.65</t>
  </si>
  <si>
    <t>$669.79</t>
  </si>
  <si>
    <t>$663.18</t>
  </si>
  <si>
    <t>$683.3099</t>
  </si>
  <si>
    <t>$658.78</t>
  </si>
  <si>
    <t>$665.49</t>
  </si>
  <si>
    <t>$671.9899</t>
  </si>
  <si>
    <t>$646.5001</t>
  </si>
  <si>
    <t>$663.58</t>
  </si>
  <si>
    <t>$681.50</t>
  </si>
  <si>
    <t>$687.73</t>
  </si>
  <si>
    <t>$688.83</t>
  </si>
  <si>
    <t>$667.46</t>
  </si>
  <si>
    <t>$707.37</t>
  </si>
  <si>
    <t>$717.00</t>
  </si>
  <si>
    <t>$686.41</t>
  </si>
  <si>
    <t>$714.60</t>
  </si>
  <si>
    <t>$721.30</t>
  </si>
  <si>
    <t>$703.5201</t>
  </si>
  <si>
    <t>$727.50</t>
  </si>
  <si>
    <t>$732.17</t>
  </si>
  <si>
    <t>$713.59</t>
  </si>
  <si>
    <t>$737.43</t>
  </si>
  <si>
    <t>$744.00</t>
  </si>
  <si>
    <t>$712.55</t>
  </si>
  <si>
    <t>$674.50</t>
  </si>
  <si>
    <t>$677.6775</t>
  </si>
  <si>
    <t>$666.10</t>
  </si>
  <si>
    <t>$674.59</t>
  </si>
  <si>
    <t>$676.815</t>
  </si>
  <si>
    <t>$664.66</t>
  </si>
  <si>
    <t>$665.125</t>
  </si>
  <si>
    <t>$675.28</t>
  </si>
  <si>
    <t>$661.2855</t>
  </si>
  <si>
    <t>$644.77</t>
  </si>
  <si>
    <t>$666.4899</t>
  </si>
  <si>
    <t>$644.445</t>
  </si>
  <si>
    <t>$629.35</t>
  </si>
  <si>
    <t>$660.57</t>
  </si>
  <si>
    <t>$626.55</t>
  </si>
  <si>
    <t>$606.74</t>
  </si>
  <si>
    <t>$618.27</t>
  </si>
  <si>
    <t>$600.08</t>
  </si>
  <si>
    <t>$607.88</t>
  </si>
  <si>
    <t>$611.40</t>
  </si>
  <si>
    <t>$600.00</t>
  </si>
  <si>
    <t>$624.176</t>
  </si>
  <si>
    <t>$629.08</t>
  </si>
  <si>
    <t>$620.08</t>
  </si>
  <si>
    <t>$618.48</t>
  </si>
  <si>
    <t>$624.17</t>
  </si>
  <si>
    <t>$614.23</t>
  </si>
  <si>
    <t>$626.50</t>
  </si>
  <si>
    <t>$628.45</t>
  </si>
  <si>
    <t>$614.815</t>
  </si>
  <si>
    <t>$642.27</t>
  </si>
  <si>
    <t>$624.10</t>
  </si>
  <si>
    <t>$652.525</t>
  </si>
  <si>
    <t>$653.97</t>
  </si>
  <si>
    <t>$641.225</t>
  </si>
  <si>
    <t>$645.435</t>
  </si>
  <si>
    <t>$654.95</t>
  </si>
  <si>
    <t>$642.85</t>
  </si>
  <si>
    <t>$645.88</t>
  </si>
  <si>
    <t>$647.102</t>
  </si>
  <si>
    <t>$635.72</t>
  </si>
  <si>
    <t>$655.64</t>
  </si>
  <si>
    <t>$659.15</t>
  </si>
  <si>
    <t>$644.81</t>
  </si>
  <si>
    <t>$659.57</t>
  </si>
  <si>
    <t>$665.52</t>
  </si>
  <si>
    <t>$651.90</t>
  </si>
  <si>
    <t>$651.01</t>
  </si>
  <si>
    <t>$664.54</t>
  </si>
  <si>
    <t>$647.7512</t>
  </si>
  <si>
    <t>$662.725</t>
  </si>
  <si>
    <t>$664.39</t>
  </si>
  <si>
    <t>$643.50</t>
  </si>
  <si>
    <t>$664.75</t>
  </si>
  <si>
    <t>$665.00</t>
  </si>
  <si>
    <t>$659.44</t>
  </si>
  <si>
    <t>$658.69</t>
  </si>
  <si>
    <t>$672.22</t>
  </si>
  <si>
    <t>$657.84</t>
  </si>
  <si>
    <t>$658.01</t>
  </si>
  <si>
    <t>$660.25</t>
  </si>
  <si>
    <t>$654.39</t>
  </si>
  <si>
    <t>$668.06</t>
  </si>
  <si>
    <t>$668.9499</t>
  </si>
  <si>
    <t>$661.3201</t>
  </si>
  <si>
    <t>$662.53</t>
  </si>
  <si>
    <t>$668.18</t>
  </si>
  <si>
    <t>$662.20</t>
  </si>
  <si>
    <t>$660.05</t>
  </si>
  <si>
    <t>$666.00</t>
  </si>
  <si>
    <t>$658.25</t>
  </si>
  <si>
    <t>$661.645</t>
  </si>
  <si>
    <t>$673.58</t>
  </si>
  <si>
    <t>$656.65</t>
  </si>
  <si>
    <t>$666.42</t>
  </si>
  <si>
    <t>$671.00</t>
  </si>
  <si>
    <t>$658.18</t>
  </si>
  <si>
    <t>$657.025</t>
  </si>
  <si>
    <t>$670.56</t>
  </si>
  <si>
    <t>$656.46</t>
  </si>
  <si>
    <t>$655.61</t>
  </si>
  <si>
    <t>$661.23</t>
  </si>
  <si>
    <t>$649.20</t>
  </si>
  <si>
    <t>$662.54</t>
  </si>
  <si>
    <t>$643.20</t>
  </si>
  <si>
    <t>$645.70</t>
  </si>
  <si>
    <t>$653.00</t>
  </si>
  <si>
    <t>$638.7001</t>
  </si>
  <si>
    <t>$649.80</t>
  </si>
  <si>
    <t>$711.00</t>
  </si>
  <si>
    <t>$638.61</t>
  </si>
  <si>
    <t>$643.29</t>
  </si>
  <si>
    <t>$655.28</t>
  </si>
  <si>
    <t>$640.795</t>
  </si>
  <si>
    <t>$649.95</t>
  </si>
  <si>
    <t>$654.51</t>
  </si>
  <si>
    <t>$643.3976</t>
  </si>
  <si>
    <t>$663.765</t>
  </si>
  <si>
    <t>$664.48</t>
  </si>
  <si>
    <t>$653.34</t>
  </si>
  <si>
    <t>$669.34</t>
  </si>
  <si>
    <t>$676.71</t>
  </si>
  <si>
    <t>$665.07</t>
  </si>
  <si>
    <t>$664.00</t>
  </si>
  <si>
    <t>$674.69</t>
  </si>
  <si>
    <t>$662.3947</t>
  </si>
  <si>
    <t>$676.10</t>
  </si>
  <si>
    <t>$644.41</t>
  </si>
  <si>
    <t>$648.8499</t>
  </si>
  <si>
    <t>$637.55</t>
  </si>
  <si>
    <t>$642.34</t>
  </si>
  <si>
    <t>$647.87</t>
  </si>
  <si>
    <t>$638.07</t>
  </si>
  <si>
    <t>$639.55</t>
  </si>
  <si>
    <t>$645.32</t>
  </si>
  <si>
    <t>$637.76</t>
  </si>
  <si>
    <t>$636.075</t>
  </si>
  <si>
    <t>$648.05</t>
  </si>
  <si>
    <t>$635.50</t>
  </si>
  <si>
    <t>$637.69</t>
  </si>
  <si>
    <t>$638.36</t>
  </si>
  <si>
    <t>$631.63</t>
  </si>
  <si>
    <t>$624.00</t>
  </si>
  <si>
    <t>$637.045</t>
  </si>
  <si>
    <t>$618.30</t>
  </si>
  <si>
    <t>$598.72</t>
  </si>
  <si>
    <t>$616.70</t>
  </si>
  <si>
    <t>$597.6301</t>
  </si>
  <si>
    <t>$588.50</t>
  </si>
  <si>
    <t>$598.12</t>
  </si>
  <si>
    <t>$581.86</t>
  </si>
  <si>
    <t>$603.50</t>
  </si>
  <si>
    <t>$606.72</t>
  </si>
  <si>
    <t>$583.35</t>
  </si>
  <si>
    <t>$593.715</t>
  </si>
  <si>
    <t>$595.33</t>
  </si>
  <si>
    <t>$581.25</t>
  </si>
  <si>
    <t>$591.60</t>
  </si>
  <si>
    <t>$603.66</t>
  </si>
  <si>
    <t>$583.78</t>
  </si>
  <si>
    <t>$609.035</t>
  </si>
  <si>
    <t>$611.69</t>
  </si>
  <si>
    <t>$595.40</t>
  </si>
  <si>
    <t>$601.79</t>
  </si>
  <si>
    <t>$613.68</t>
  </si>
  <si>
    <t>$595.20</t>
  </si>
  <si>
    <t>$613.07</t>
  </si>
  <si>
    <t>$617.65</t>
  </si>
  <si>
    <t>$603.00</t>
  </si>
  <si>
    <t>$628.13</t>
  </si>
  <si>
    <t>$628.99</t>
  </si>
  <si>
    <t>$607.77</t>
  </si>
  <si>
    <t>$628.00</t>
  </si>
  <si>
    <t>$629.56</t>
  </si>
  <si>
    <t>$619.39</t>
  </si>
  <si>
    <t>$631.09</t>
  </si>
  <si>
    <t>$635.00</t>
  </si>
  <si>
    <t>$618.105</t>
  </si>
  <si>
    <t>$616.485</t>
  </si>
  <si>
    <t>$622.1348</t>
  </si>
  <si>
    <t>$601.20</t>
  </si>
  <si>
    <t>$635.85</t>
  </si>
  <si>
    <t>$618.00</t>
  </si>
  <si>
    <t>$632.31</t>
  </si>
  <si>
    <t>$642.23</t>
  </si>
  <si>
    <t>$626.5375</t>
  </si>
  <si>
    <t>$628.035</t>
  </si>
  <si>
    <t>$641.7399</t>
  </si>
  <si>
    <t>$626.01</t>
  </si>
  <si>
    <t>$656.00</t>
  </si>
  <si>
    <t>$659.3299</t>
  </si>
  <si>
    <t>$636.18</t>
  </si>
  <si>
    <t>$674.51</t>
  </si>
  <si>
    <t>$674.89</t>
  </si>
  <si>
    <t>$645.57</t>
  </si>
  <si>
    <t>$669.15</t>
  </si>
  <si>
    <t>$680.9599</t>
  </si>
  <si>
    <t>$650.17</t>
  </si>
  <si>
    <t>$754.75</t>
  </si>
  <si>
    <t>$759.155</t>
  </si>
  <si>
    <t>$742.51</t>
  </si>
  <si>
    <t>$752.63</t>
  </si>
  <si>
    <t>$758.40</t>
  </si>
  <si>
    <t>$745.5201</t>
  </si>
  <si>
    <t>$749.73</t>
  </si>
  <si>
    <t>$755.75</t>
  </si>
  <si>
    <t>$748.01</t>
  </si>
  <si>
    <t>$736.79</t>
  </si>
  <si>
    <t>$741.21</t>
  </si>
  <si>
    <t>$731.15</t>
  </si>
  <si>
    <t>$734.70</t>
  </si>
  <si>
    <t>$742.41</t>
  </si>
  <si>
    <t>$733.10</t>
  </si>
  <si>
    <t>$733.83</t>
  </si>
  <si>
    <t>$740.60</t>
  </si>
  <si>
    <t>$724.03</t>
  </si>
  <si>
    <t>$736.015</t>
  </si>
  <si>
    <t>$738.50</t>
  </si>
  <si>
    <t>$728.75</t>
  </si>
  <si>
    <t>$721.19</t>
  </si>
  <si>
    <t>$733.77</t>
  </si>
  <si>
    <t>$720.18</t>
  </si>
  <si>
    <t>$707.075</t>
  </si>
  <si>
    <t>$718.54</t>
  </si>
  <si>
    <t>$706.12</t>
  </si>
  <si>
    <t>$717.55</t>
  </si>
  <si>
    <t>$725.49</t>
  </si>
  <si>
    <t>$703.88</t>
  </si>
  <si>
    <t>$717.06</t>
  </si>
  <si>
    <t>$723.90</t>
  </si>
  <si>
    <t>$709.51</t>
  </si>
  <si>
    <t>$707.78</t>
  </si>
  <si>
    <t>$715.55</t>
  </si>
  <si>
    <t>$699.33</t>
  </si>
  <si>
    <t>$713.01</t>
  </si>
  <si>
    <t>$719.94</t>
  </si>
  <si>
    <t>$707.6413</t>
  </si>
  <si>
    <t>$730.92</t>
  </si>
  <si>
    <t>$735.27</t>
  </si>
  <si>
    <t>$704.51</t>
  </si>
  <si>
    <t>$718.275</t>
  </si>
  <si>
    <t>$733.51</t>
  </si>
  <si>
    <t>$712.44</t>
  </si>
  <si>
    <t>$713.45</t>
  </si>
  <si>
    <t>$719.65</t>
  </si>
  <si>
    <t>$707.81</t>
  </si>
  <si>
    <t>$717.72</t>
  </si>
  <si>
    <t>$718.4999</t>
  </si>
  <si>
    <t>$705.75</t>
  </si>
  <si>
    <t>$705.185</t>
  </si>
  <si>
    <t>$716.88</t>
  </si>
  <si>
    <t>$690.51</t>
  </si>
  <si>
    <t>$729.625</t>
  </si>
  <si>
    <t>$731.00</t>
  </si>
  <si>
    <t>$710.18</t>
  </si>
  <si>
    <t>$722.58</t>
  </si>
  <si>
    <t>$727.77</t>
  </si>
  <si>
    <t>$718.14</t>
  </si>
  <si>
    <t>$721.49</t>
  </si>
  <si>
    <t>$721.8499</t>
  </si>
  <si>
    <t>$710.20</t>
  </si>
  <si>
    <t>$742.25</t>
  </si>
  <si>
    <t>$742.97</t>
  </si>
  <si>
    <t>$726.30</t>
  </si>
  <si>
    <t>$748.72</t>
  </si>
  <si>
    <t>$750.78</t>
  </si>
  <si>
    <t>$739.15</t>
  </si>
  <si>
    <t>$750.00</t>
  </si>
  <si>
    <t>$751.9299</t>
  </si>
  <si>
    <t>$737.3532</t>
  </si>
  <si>
    <t>$753.45</t>
  </si>
  <si>
    <t>$756.765</t>
  </si>
  <si>
    <t>$744.55</t>
  </si>
  <si>
    <t>$757.50</t>
  </si>
  <si>
    <t>$761.11</t>
  </si>
  <si>
    <t>$752.5251</t>
  </si>
  <si>
    <t>$769.25</t>
  </si>
  <si>
    <t>$770.60</t>
  </si>
  <si>
    <t>$751.07</t>
  </si>
  <si>
    <t>$781.845</t>
  </si>
  <si>
    <t>$785.73</t>
  </si>
  <si>
    <t>$764.47</t>
  </si>
  <si>
    <t>$786.42</t>
  </si>
  <si>
    <t>$790.80</t>
  </si>
  <si>
    <t>$769.1901</t>
  </si>
  <si>
    <t>$780.75</t>
  </si>
  <si>
    <t>$788.78</t>
  </si>
  <si>
    <t>$773.36</t>
  </si>
  <si>
    <t>$779.99</t>
  </si>
  <si>
    <t>$783.29</t>
  </si>
  <si>
    <t>$766.31</t>
  </si>
  <si>
    <t>$767.00</t>
  </si>
  <si>
    <t>$781.36</t>
  </si>
  <si>
    <t>$765.10</t>
  </si>
  <si>
    <t>$757.47</t>
  </si>
  <si>
    <t>$774.07</t>
  </si>
  <si>
    <t>$751.985</t>
  </si>
  <si>
    <t>$748.725</t>
  </si>
  <si>
    <t>$757.5703</t>
  </si>
  <si>
    <t>$743.76</t>
  </si>
  <si>
    <t>$754.65</t>
  </si>
  <si>
    <t>$757.10</t>
  </si>
  <si>
    <t>$748.37</t>
  </si>
  <si>
    <t>$765.13</t>
  </si>
  <si>
    <t>$765.70</t>
  </si>
  <si>
    <t>$751.00</t>
  </si>
  <si>
    <t>$757.49</t>
  </si>
  <si>
    <t>$766.30</t>
  </si>
  <si>
    <t>$753.43</t>
  </si>
  <si>
    <t>$755.995</t>
  </si>
  <si>
    <t>$766.51</t>
  </si>
  <si>
    <t>$752.02</t>
  </si>
  <si>
    <t>$752.615</t>
  </si>
  <si>
    <t>$757.95</t>
  </si>
  <si>
    <t>$745.03</t>
  </si>
  <si>
    <t>$748.57</t>
  </si>
  <si>
    <t>$761.16</t>
  </si>
  <si>
    <t>$745.82</t>
  </si>
  <si>
    <t>$736.00</t>
  </si>
  <si>
    <t>$740.25</t>
  </si>
  <si>
    <t>$733.9893</t>
  </si>
  <si>
    <t>$726.04</t>
  </si>
  <si>
    <t>$721.7306</t>
  </si>
  <si>
    <t>$745.28</t>
  </si>
  <si>
    <t>$747.14</t>
  </si>
  <si>
    <t>$735.3466</t>
  </si>
  <si>
    <t>$753.0548</t>
  </si>
  <si>
    <t>$740.795</t>
  </si>
  <si>
    <t>$752.30</t>
  </si>
  <si>
    <t>$754.1499</t>
  </si>
  <si>
    <t>$742.84</t>
  </si>
  <si>
    <t>$750.80</t>
  </si>
  <si>
    <t>$754.87</t>
  </si>
  <si>
    <t>$747.94</t>
  </si>
  <si>
    <t>$754.82</t>
  </si>
  <si>
    <t>$758.88</t>
  </si>
  <si>
    <t>$750.13</t>
  </si>
  <si>
    <t>$739.23</t>
  </si>
  <si>
    <t>$756.90</t>
  </si>
  <si>
    <t>$734.39</t>
  </si>
  <si>
    <t>$744.705</t>
  </si>
  <si>
    <t>$745.50</t>
  </si>
  <si>
    <t>$733.1101</t>
  </si>
  <si>
    <t>$747.57</t>
  </si>
  <si>
    <t>$750.1999</t>
  </si>
  <si>
    <t>$767.12</t>
  </si>
  <si>
    <t>$767.17</t>
  </si>
  <si>
    <t>$749.36</t>
  </si>
  <si>
    <t>$775.085</t>
  </si>
  <si>
    <t>$775.81</t>
  </si>
  <si>
    <t>$756.5601</t>
  </si>
  <si>
    <t>$784.15</t>
  </si>
  <si>
    <t>$796.25</t>
  </si>
  <si>
    <t>$780.82</t>
  </si>
  <si>
    <t>$777.88</t>
  </si>
  <si>
    <t>$787.81</t>
  </si>
  <si>
    <t>$772.51</t>
  </si>
  <si>
    <t>$791.15</t>
  </si>
  <si>
    <t>$795.4561</t>
  </si>
  <si>
    <t>$778.23</t>
  </si>
  <si>
    <t>$773.00</t>
  </si>
  <si>
    <t>$793.67</t>
  </si>
  <si>
    <t>$772.43</t>
  </si>
  <si>
    <t>$770.075</t>
  </si>
  <si>
    <t>$773.4584</t>
  </si>
  <si>
    <t>$764.67</t>
  </si>
  <si>
    <t>$762.75</t>
  </si>
  <si>
    <t>$769.90</t>
  </si>
  <si>
    <t>$758.58</t>
  </si>
  <si>
    <t>$773.49</t>
  </si>
  <si>
    <t>$775.00</t>
  </si>
  <si>
    <t>$759.55</t>
  </si>
  <si>
    <t>$770.00</t>
  </si>
  <si>
    <t>$773.64</t>
  </si>
  <si>
    <t>$760.4601</t>
  </si>
  <si>
    <t>$776.445</t>
  </si>
  <si>
    <t>$783.1299</t>
  </si>
  <si>
    <t>$763.00</t>
  </si>
  <si>
    <t>$760.00</t>
  </si>
  <si>
    <t>$776.85</t>
  </si>
  <si>
    <t>$758.41</t>
  </si>
  <si>
    <t>$760.73</t>
  </si>
  <si>
    <t>$765.9999</t>
  </si>
  <si>
    <t>$745.31</t>
  </si>
  <si>
    <t>$775.20</t>
  </si>
  <si>
    <t>$784.75</t>
  </si>
  <si>
    <t>$765.51</t>
  </si>
  <si>
    <t>$708.09</t>
  </si>
  <si>
    <t>$708.50</t>
  </si>
  <si>
    <t>$691.2001</t>
  </si>
  <si>
    <t>$720.00</t>
  </si>
  <si>
    <t>$724.47</t>
  </si>
  <si>
    <t>$699.91</t>
  </si>
  <si>
    <t>$715.20</t>
  </si>
  <si>
    <t>$724.7352</t>
  </si>
  <si>
    <t>$712.68</t>
  </si>
  <si>
    <t>$716.915</t>
  </si>
  <si>
    <t>$720.6499</t>
  </si>
  <si>
    <t>$711.90</t>
  </si>
  <si>
    <t>$717.05</t>
  </si>
  <si>
    <t>$723.6239</t>
  </si>
  <si>
    <t>$714.00</t>
  </si>
  <si>
    <t>$706.365</t>
  </si>
  <si>
    <t>$714.6285</t>
  </si>
  <si>
    <t>$704.93</t>
  </si>
  <si>
    <t>$716.19</t>
  </si>
  <si>
    <t>$716.60</t>
  </si>
  <si>
    <t>$701.41</t>
  </si>
  <si>
    <t>$706.80</t>
  </si>
  <si>
    <t>$705.76</t>
  </si>
  <si>
    <t>$702.19</t>
  </si>
  <si>
    <t>$704.71</t>
  </si>
  <si>
    <t>$691.65</t>
  </si>
  <si>
    <t>$704.39</t>
  </si>
  <si>
    <t>$705.90</t>
  </si>
  <si>
    <t>$697.105</t>
  </si>
  <si>
    <t>$713.37</t>
  </si>
  <si>
    <t>$713.97</t>
  </si>
  <si>
    <t>$699.2701</t>
  </si>
  <si>
    <t>$724.4716</t>
  </si>
  <si>
    <t>$709.82</t>
  </si>
  <si>
    <t>$717.60</t>
  </si>
  <si>
    <t>$728.00</t>
  </si>
  <si>
    <t>$716.547</t>
  </si>
  <si>
    <t>$722.495</t>
  </si>
  <si>
    <t>$725.16</t>
  </si>
  <si>
    <t>$709.70</t>
  </si>
  <si>
    <t>$731.55</t>
  </si>
  <si>
    <t>$735.7999</t>
  </si>
  <si>
    <t>$719.60</t>
  </si>
  <si>
    <t>$722.715</t>
  </si>
  <si>
    <t>$737.53</t>
  </si>
  <si>
    <t>$721.57</t>
  </si>
  <si>
    <t>$722.9099</t>
  </si>
  <si>
    <t>$714.81</t>
  </si>
  <si>
    <t>$727.00</t>
  </si>
  <si>
    <t>$713.51</t>
  </si>
  <si>
    <t>$726.61</t>
  </si>
  <si>
    <t>$729.03</t>
  </si>
  <si>
    <t>$714.42</t>
  </si>
  <si>
    <t>$715.325</t>
  </si>
  <si>
    <t>$720.30</t>
  </si>
  <si>
    <t>$712.80</t>
  </si>
  <si>
    <t>$736.875</t>
  </si>
  <si>
    <t>$737.7499</t>
  </si>
  <si>
    <t>$715.37</t>
  </si>
  <si>
    <t>$747.90</t>
  </si>
  <si>
    <t>$734.25</t>
  </si>
  <si>
    <t>$726.515</t>
  </si>
  <si>
    <t>$735.43</t>
  </si>
  <si>
    <t>$725.86</t>
  </si>
  <si>
    <t>$714.355</t>
  </si>
  <si>
    <t>$728.22</t>
  </si>
  <si>
    <t>$711.05</t>
  </si>
  <si>
    <t>$713.315</t>
  </si>
  <si>
    <t>$716.58</t>
  </si>
  <si>
    <t>$705.38</t>
  </si>
  <si>
    <t>$704.885</t>
  </si>
  <si>
    <t>$713.19</t>
  </si>
  <si>
    <t>$702.11</t>
  </si>
  <si>
    <t>$683.69</t>
  </si>
  <si>
    <t>$699.05</t>
  </si>
  <si>
    <t>$678.75</t>
  </si>
  <si>
    <t>$700.75</t>
  </si>
  <si>
    <t>$701.8197</t>
  </si>
  <si>
    <t>$678.67</t>
  </si>
  <si>
    <t>$698.18</t>
  </si>
  <si>
    <t>$701.59</t>
  </si>
  <si>
    <t>$694.90</t>
  </si>
  <si>
    <t>$702.00</t>
  </si>
  <si>
    <t>$705.97</t>
  </si>
  <si>
    <t>$696.06</t>
  </si>
  <si>
    <t>$707.15</t>
  </si>
  <si>
    <t>$693.5103</t>
  </si>
  <si>
    <t>$687.95</t>
  </si>
  <si>
    <t>$694.57</t>
  </si>
  <si>
    <t>$681.01</t>
  </si>
  <si>
    <t>$693.30</t>
  </si>
  <si>
    <t>$695.38</t>
  </si>
  <si>
    <t>$687.00</t>
  </si>
  <si>
    <t>$703.705</t>
  </si>
  <si>
    <t>$708.8707</t>
  </si>
  <si>
    <t>$691.99</t>
  </si>
  <si>
    <t>$701.345</t>
  </si>
  <si>
    <t>$703.23</t>
  </si>
  <si>
    <t>$691.56</t>
  </si>
  <si>
    <t>$698.46</t>
  </si>
  <si>
    <t>$705.19</t>
  </si>
  <si>
    <t>$693.94</t>
  </si>
  <si>
    <t>$696.17</t>
  </si>
  <si>
    <t>$702.806</t>
  </si>
  <si>
    <t>$691.87</t>
  </si>
  <si>
    <t>$691.66</t>
  </si>
  <si>
    <t>$694.38</t>
  </si>
  <si>
    <t>$682.25</t>
  </si>
  <si>
    <t>$669.32</t>
  </si>
  <si>
    <t>$689.00</t>
  </si>
  <si>
    <t>$668.57</t>
  </si>
  <si>
    <t>$671.445</t>
  </si>
  <si>
    <t>$675.58</t>
  </si>
  <si>
    <t>$665.03</t>
  </si>
  <si>
    <t>$644.39</t>
  </si>
  <si>
    <t>$673.26</t>
  </si>
  <si>
    <t>$644.2616</t>
  </si>
  <si>
    <t>$642.50</t>
  </si>
  <si>
    <t>$649.4099</t>
  </si>
  <si>
    <t>$632.78</t>
  </si>
  <si>
    <t>$651.645</t>
  </si>
  <si>
    <t>$653.32</t>
  </si>
  <si>
    <t>$639.50</t>
  </si>
  <si>
    <t>$650.88</t>
  </si>
  <si>
    <t>$642.5472</t>
  </si>
  <si>
    <t>$635.41</t>
  </si>
  <si>
    <t>$643.08</t>
  </si>
  <si>
    <t>$632.75</t>
  </si>
  <si>
    <t>$632.445</t>
  </si>
  <si>
    <t>$634.05</t>
  </si>
  <si>
    <t>$643.25</t>
  </si>
  <si>
    <t>$630.71</t>
  </si>
  <si>
    <t>$631.79</t>
  </si>
  <si>
    <t>$646.61</t>
  </si>
  <si>
    <t>$630.17</t>
  </si>
  <si>
    <t>$636.01</t>
  </si>
  <si>
    <t>$639.3536</t>
  </si>
  <si>
    <t>$632.26</t>
  </si>
  <si>
    <t>$628.25</t>
  </si>
  <si>
    <t>$643.00</t>
  </si>
  <si>
    <t>$627.80</t>
  </si>
  <si>
    <t>$637.955</t>
  </si>
  <si>
    <t>$640.44</t>
  </si>
  <si>
    <t>$626.15</t>
  </si>
  <si>
    <t>$654.275</t>
  </si>
  <si>
    <t>$657.31</t>
  </si>
  <si>
    <t>$638.58</t>
  </si>
  <si>
    <t>$661.21</t>
  </si>
  <si>
    <t>$662.67</t>
  </si>
  <si>
    <t>$654.31</t>
  </si>
  <si>
    <t>$645.545</t>
  </si>
  <si>
    <t>$660.92</t>
  </si>
  <si>
    <t>$642.83</t>
  </si>
  <si>
    <t>$630.92</t>
  </si>
  <si>
    <t>$640.3896</t>
  </si>
  <si>
    <t>$621.03</t>
  </si>
  <si>
    <t>$603.72</t>
  </si>
  <si>
    <t>$606.97</t>
  </si>
  <si>
    <t>$591.7062</t>
  </si>
  <si>
    <t>$606.285</t>
  </si>
  <si>
    <t>$611.2959</t>
  </si>
  <si>
    <t>$596.62</t>
  </si>
  <si>
    <t>$590.36</t>
  </si>
  <si>
    <t>$603.075</t>
  </si>
  <si>
    <t>$586.67</t>
  </si>
  <si>
    <t>$592.525</t>
  </si>
  <si>
    <t>$596.03</t>
  </si>
  <si>
    <t>$586.58</t>
  </si>
  <si>
    <t>$591.22</t>
  </si>
  <si>
    <t>$603.21</t>
  </si>
  <si>
    <t>$588.05</t>
  </si>
  <si>
    <t>$583.455</t>
  </si>
  <si>
    <t>$604.34</t>
  </si>
  <si>
    <t>$578.33</t>
  </si>
  <si>
    <t>$592.075</t>
  </si>
  <si>
    <t>$592.95</t>
  </si>
  <si>
    <t>$570.50</t>
  </si>
  <si>
    <t>$538.40</t>
  </si>
  <si>
    <t>$549.10</t>
  </si>
  <si>
    <t>$529.50</t>
  </si>
  <si>
    <t>$546.00</t>
  </si>
  <si>
    <t>$556.5699</t>
  </si>
  <si>
    <t>$544.12</t>
  </si>
  <si>
    <t>$555.64</t>
  </si>
  <si>
    <t>$558.4899</t>
  </si>
  <si>
    <t>$540.59</t>
  </si>
  <si>
    <t>$546.80</t>
  </si>
  <si>
    <t>$549.86</t>
  </si>
  <si>
    <t>$536.25</t>
  </si>
  <si>
    <t>$518.73</t>
  </si>
  <si>
    <t>$533.90</t>
  </si>
  <si>
    <t>$517.50</t>
  </si>
  <si>
    <t>$528.525</t>
  </si>
  <si>
    <t>$535.3376</t>
  </si>
  <si>
    <t>$516.52</t>
  </si>
  <si>
    <t>$491.87</t>
  </si>
  <si>
    <t>$506.88</t>
  </si>
  <si>
    <t>$486.36</t>
  </si>
  <si>
    <t>$491.325</t>
  </si>
  <si>
    <t>$493.50</t>
  </si>
  <si>
    <t>$479.80</t>
  </si>
  <si>
    <t>$505.25</t>
  </si>
  <si>
    <t>$507.30</t>
  </si>
  <si>
    <t>$498.0133</t>
  </si>
  <si>
    <t>$508.51</t>
  </si>
  <si>
    <t>$513.37</t>
  </si>
  <si>
    <t>$495.63</t>
  </si>
  <si>
    <t>$532.105</t>
  </si>
  <si>
    <t>$537.94</t>
  </si>
  <si>
    <t>$556.175</t>
  </si>
  <si>
    <t>$557.77</t>
  </si>
  <si>
    <t>$528.28</t>
  </si>
  <si>
    <t>$535.505</t>
  </si>
  <si>
    <t>$547.40</t>
  </si>
  <si>
    <t>$528.5901</t>
  </si>
  <si>
    <t>$575.49</t>
  </si>
  <si>
    <t>$581.30</t>
  </si>
  <si>
    <t>$535.30</t>
  </si>
  <si>
    <t>$509.265</t>
  </si>
  <si>
    <t>$587.89</t>
  </si>
  <si>
    <t>$502.11</t>
  </si>
  <si>
    <t>$543.25</t>
  </si>
  <si>
    <t>$547.43</t>
  </si>
  <si>
    <t>$502.86</t>
  </si>
  <si>
    <t>$485.10</t>
  </si>
  <si>
    <t>$539.37</t>
  </si>
  <si>
    <t>$481.90</t>
  </si>
  <si>
    <t>$506.62</t>
  </si>
  <si>
    <t>$518.00</t>
  </si>
  <si>
    <t>$494.20</t>
  </si>
  <si>
    <t>$546.22</t>
  </si>
  <si>
    <t>$552.5596</t>
  </si>
  <si>
    <t>$530.30</t>
  </si>
  <si>
    <t>$574.91</t>
  </si>
  <si>
    <t>$592.66</t>
  </si>
  <si>
    <t>$573.36</t>
  </si>
  <si>
    <t>$570.84</t>
  </si>
  <si>
    <t>$589.91</t>
  </si>
  <si>
    <t>$570.00</t>
  </si>
  <si>
    <t>$563.50</t>
  </si>
  <si>
    <t>$578.70</t>
  </si>
  <si>
    <t>$553.30</t>
  </si>
  <si>
    <t>$600.31</t>
  </si>
  <si>
    <t>$601.75</t>
  </si>
  <si>
    <t>$573.92</t>
  </si>
  <si>
    <t>$602.00</t>
  </si>
  <si>
    <t>$614.25</t>
  </si>
  <si>
    <t>$600.10</t>
  </si>
  <si>
    <t>$624.89</t>
  </si>
  <si>
    <t>$626.7499</t>
  </si>
  <si>
    <t>$606.61</t>
  </si>
  <si>
    <t>$626.76</t>
  </si>
  <si>
    <t>$633.88</t>
  </si>
  <si>
    <t>$621.18</t>
  </si>
  <si>
    <t>$614.97</t>
  </si>
  <si>
    <t>$622.54</t>
  </si>
  <si>
    <t>$612.2001</t>
  </si>
  <si>
    <t>$583.425</t>
  </si>
  <si>
    <t>$597.545</t>
  </si>
  <si>
    <t>$580.95</t>
  </si>
  <si>
    <t>$582.755</t>
  </si>
  <si>
    <t>$610.20</t>
  </si>
  <si>
    <t>$579.51</t>
  </si>
  <si>
    <t>$584.28</t>
  </si>
  <si>
    <t>$592.3223</t>
  </si>
  <si>
    <t>$574.77</t>
  </si>
  <si>
    <t>L'Oreal</t>
  </si>
  <si>
    <t>Lisa</t>
  </si>
  <si>
    <t>Simulations Values</t>
  </si>
  <si>
    <t>$406.10</t>
  </si>
  <si>
    <t>$419.95</t>
  </si>
  <si>
    <t>$393.80</t>
  </si>
  <si>
    <t>$419.75</t>
  </si>
  <si>
    <t>$420.96</t>
  </si>
  <si>
    <t>$398.60</t>
  </si>
  <si>
    <t>$402.262</t>
  </si>
  <si>
    <t>$416.92</t>
  </si>
  <si>
    <t>$399.00</t>
  </si>
  <si>
    <t>$412.00</t>
  </si>
  <si>
    <t>$425.00</t>
  </si>
  <si>
    <t>$428.25</t>
  </si>
  <si>
    <t>$429.64</t>
  </si>
  <si>
    <t>$412.1492</t>
  </si>
  <si>
    <t>$415.76</t>
  </si>
  <si>
    <t>$432.88</t>
  </si>
  <si>
    <t>$432.50</t>
  </si>
  <si>
    <t>$438.00</t>
  </si>
  <si>
    <t>$418.224</t>
  </si>
  <si>
    <t>$420.7561</t>
  </si>
  <si>
    <t>$439.692</t>
  </si>
  <si>
    <t>$415.3919</t>
  </si>
  <si>
    <t>$412.55</t>
  </si>
  <si>
    <t>$447.2399</t>
  </si>
  <si>
    <t>$428.22</t>
  </si>
  <si>
    <t>$451.30</t>
  </si>
  <si>
    <t>$428.732</t>
  </si>
  <si>
    <t>$446.51</t>
  </si>
  <si>
    <t>$423.85</t>
  </si>
  <si>
    <t>$438.70</t>
  </si>
  <si>
    <t>$448.59</t>
  </si>
  <si>
    <t>$421.0191</t>
  </si>
  <si>
    <t>$457.50</t>
  </si>
  <si>
    <t>$465.04</t>
  </si>
  <si>
    <t>$438.79</t>
  </si>
  <si>
    <t>$458.00</t>
  </si>
  <si>
    <t>$481.72</t>
  </si>
  <si>
    <t>$473.20</t>
  </si>
  <si>
    <t>$459.00</t>
  </si>
  <si>
    <t>$480.00</t>
  </si>
  <si>
    <t>$461.40</t>
  </si>
  <si>
    <t>$463.65</t>
  </si>
  <si>
    <t>$479.75</t>
  </si>
  <si>
    <t>$476.576</t>
  </si>
  <si>
    <t>$478.31</t>
  </si>
  <si>
    <t>$458.32</t>
  </si>
  <si>
    <t>$466.12</t>
  </si>
  <si>
    <t>$470.00</t>
  </si>
  <si>
    <t>$450.60</t>
  </si>
  <si>
    <t>$474.45</t>
  </si>
  <si>
    <t>$452.25</t>
  </si>
  <si>
    <t>$457.00</t>
  </si>
  <si>
    <t>$479.99</t>
  </si>
  <si>
    <t>$456.77</t>
  </si>
  <si>
    <t>$442.70</t>
  </si>
  <si>
    <t>$455.00</t>
  </si>
  <si>
    <t>$433.65</t>
  </si>
  <si>
    <t>$472.20</t>
  </si>
  <si>
    <t>$420.00</t>
  </si>
  <si>
    <t>$475.21</t>
  </si>
  <si>
    <t>$456.55</t>
  </si>
  <si>
    <t>$485.40</t>
  </si>
  <si>
    <t>$460.12</t>
  </si>
  <si>
    <t>$464.151</t>
  </si>
  <si>
    <t>$453.00</t>
  </si>
  <si>
    <t>$474.00</t>
  </si>
  <si>
    <t>$476.10</t>
  </si>
  <si>
    <t>$450.01</t>
  </si>
  <si>
    <t>$472.50</t>
  </si>
  <si>
    <t>$475.25</t>
  </si>
  <si>
    <t>$468.70</t>
  </si>
  <si>
    <t>$480.88</t>
  </si>
  <si>
    <t>$467.7614</t>
  </si>
  <si>
    <t>$465.222</t>
  </si>
  <si>
    <t>$444.80</t>
  </si>
  <si>
    <t>$472.40</t>
  </si>
  <si>
    <t>$450.76</t>
  </si>
  <si>
    <t>$467.28</t>
  </si>
  <si>
    <t>$446.80</t>
  </si>
  <si>
    <t>$485.61</t>
  </si>
  <si>
    <t>$442.91</t>
  </si>
  <si>
    <t>$448.00</t>
  </si>
  <si>
    <t>$447.32</t>
  </si>
  <si>
    <t>$466.13</t>
  </si>
  <si>
    <t>$441.05</t>
  </si>
  <si>
    <t>$441.00</t>
  </si>
  <si>
    <t>$460.00</t>
  </si>
  <si>
    <t>$471.23</t>
  </si>
  <si>
    <t>$437.00</t>
  </si>
  <si>
    <t>$449.20</t>
  </si>
  <si>
    <t>$466.60</t>
  </si>
  <si>
    <t>$459.14</t>
  </si>
  <si>
    <t>$470.75</t>
  </si>
  <si>
    <t>$426.65</t>
  </si>
  <si>
    <t>$438.122</t>
  </si>
  <si>
    <t>$463.156</t>
  </si>
  <si>
    <t>$430.90</t>
  </si>
  <si>
    <t>$452.49</t>
  </si>
  <si>
    <t>$454.65</t>
  </si>
  <si>
    <t>$440.44</t>
  </si>
  <si>
    <t>$456.985</t>
  </si>
  <si>
    <t>$461.594</t>
  </si>
  <si>
    <t>$447.66</t>
  </si>
  <si>
    <t>$443.00</t>
  </si>
  <si>
    <t>$466.52</t>
  </si>
  <si>
    <t>$441.95</t>
  </si>
  <si>
    <t>$466.31</t>
  </si>
  <si>
    <t>$446.95</t>
  </si>
  <si>
    <t>$444.75</t>
  </si>
  <si>
    <t>$449.70</t>
  </si>
  <si>
    <t>$438.90</t>
  </si>
  <si>
    <t>$429.50</t>
  </si>
  <si>
    <t>$430.80</t>
  </si>
  <si>
    <t>$410.9375</t>
  </si>
  <si>
    <t>$432.60</t>
  </si>
  <si>
    <t>$408.16</t>
  </si>
  <si>
    <t>$420.04</t>
  </si>
  <si>
    <t>$432.80</t>
  </si>
  <si>
    <t>$436.02</t>
  </si>
  <si>
    <t>$408.10</t>
  </si>
  <si>
    <t>$436.12</t>
  </si>
  <si>
    <t>$448.42</t>
  </si>
  <si>
    <t>$425.76</t>
  </si>
  <si>
    <t>$427.992</t>
  </si>
  <si>
    <t>$444.168</t>
  </si>
  <si>
    <t>$427.1076</t>
  </si>
  <si>
    <t>$430.77</t>
  </si>
  <si>
    <t>$437.58</t>
  </si>
  <si>
    <t>$422.60</t>
  </si>
  <si>
    <t>$433.30</t>
  </si>
  <si>
    <t>$436.72</t>
  </si>
  <si>
    <t>$426.616</t>
  </si>
  <si>
    <t>$446.54</t>
  </si>
  <si>
    <t>$417.86</t>
  </si>
  <si>
    <t>$423.59</t>
  </si>
  <si>
    <t>$441.40</t>
  </si>
  <si>
    <t>$426.82</t>
  </si>
  <si>
    <t>$441.28</t>
  </si>
  <si>
    <t>$424.60</t>
  </si>
  <si>
    <t>$437.15</t>
  </si>
  <si>
    <t>$427.30</t>
  </si>
  <si>
    <t>$441.90</t>
  </si>
  <si>
    <t>$426.76</t>
  </si>
  <si>
    <t>$440.4988</t>
  </si>
  <si>
    <t>$444.974</t>
  </si>
  <si>
    <t>$438.80</t>
  </si>
  <si>
    <t>$436.70</t>
  </si>
  <si>
    <t>$446.10</t>
  </si>
  <si>
    <t>$433.70</t>
  </si>
  <si>
    <t>$445.70</t>
  </si>
  <si>
    <t>$429.70</t>
  </si>
  <si>
    <t>$445.41</t>
  </si>
  <si>
    <t>$430.34</t>
  </si>
  <si>
    <t>$450.00</t>
  </si>
  <si>
    <t>$425.90</t>
  </si>
  <si>
    <t>$435.84</t>
  </si>
  <si>
    <t>$440.36</t>
  </si>
  <si>
    <t>$426.90</t>
  </si>
  <si>
    <t>$435.224</t>
  </si>
  <si>
    <t>$419.20</t>
  </si>
  <si>
    <t>$437.65</t>
  </si>
  <si>
    <t>$439.58</t>
  </si>
  <si>
    <t>$422.166</t>
  </si>
  <si>
    <t>$412.76</t>
  </si>
  <si>
    <t>$428.10</t>
  </si>
  <si>
    <t>$436.69</t>
  </si>
  <si>
    <t>$450.50</t>
  </si>
  <si>
    <t>$425.80</t>
  </si>
  <si>
    <t>$443.65</t>
  </si>
  <si>
    <t>$423.93</t>
  </si>
  <si>
    <t>$429.5375</t>
  </si>
  <si>
    <t>$451.94</t>
  </si>
  <si>
    <t>$428.7746</t>
  </si>
  <si>
    <t>$437.3753</t>
  </si>
  <si>
    <t>$452.34</t>
  </si>
  <si>
    <t>$433.469</t>
  </si>
  <si>
    <t>$447.02</t>
  </si>
  <si>
    <t>$429.68</t>
  </si>
  <si>
    <t>$453.18</t>
  </si>
  <si>
    <t>$420.50</t>
  </si>
  <si>
    <t>$419.46</t>
  </si>
  <si>
    <t>$436.59</t>
  </si>
  <si>
    <t>$413.75</t>
  </si>
  <si>
    <t>$436.40</t>
  </si>
  <si>
    <t>$413.60</t>
  </si>
  <si>
    <t>$410.00</t>
  </si>
  <si>
    <t>$430.254</t>
  </si>
  <si>
    <t>$403.328</t>
  </si>
  <si>
    <t>$404.844</t>
  </si>
  <si>
    <t>$424.156</t>
  </si>
  <si>
    <t>$400.042</t>
  </si>
  <si>
    <t>$429.91</t>
  </si>
  <si>
    <t>$400.00</t>
  </si>
  <si>
    <t>$405.34</t>
  </si>
  <si>
    <t>$421.71</t>
  </si>
  <si>
    <t>$409.95</t>
  </si>
  <si>
    <t>$425.34</t>
  </si>
  <si>
    <t>$407.32</t>
  </si>
  <si>
    <t>$423.24</t>
  </si>
  <si>
    <t>$425.95</t>
  </si>
  <si>
    <t>$406.75</t>
  </si>
  <si>
    <t>$414.392</t>
  </si>
  <si>
    <t>$427.2125</t>
  </si>
  <si>
    <t>$431.95</t>
  </si>
  <si>
    <t>$409.43</t>
  </si>
  <si>
    <t>$425.57</t>
  </si>
  <si>
    <t>$426.66</t>
  </si>
  <si>
    <t>$408.68</t>
  </si>
  <si>
    <t>$418.81</t>
  </si>
  <si>
    <t>$404.70</t>
  </si>
  <si>
    <t>$423.00</t>
  </si>
  <si>
    <t>$400.01</t>
  </si>
  <si>
    <t>$409.746</t>
  </si>
  <si>
    <t>$417.69</t>
  </si>
  <si>
    <t>$403.97</t>
  </si>
  <si>
    <t>$426.72</t>
  </si>
  <si>
    <t>$404.20</t>
  </si>
  <si>
    <t>$424.96</t>
  </si>
  <si>
    <t>$425.266</t>
  </si>
  <si>
    <t>$413.14</t>
  </si>
  <si>
    <t>$420.70</t>
  </si>
  <si>
    <t>$434.85</t>
  </si>
  <si>
    <t>$412.21</t>
  </si>
  <si>
    <t>$417.30</t>
  </si>
  <si>
    <t>$431.38</t>
  </si>
  <si>
    <t>$414.166</t>
  </si>
  <si>
    <t>$443.26</t>
  </si>
  <si>
    <t>$418.00</t>
  </si>
  <si>
    <t>$441.70</t>
  </si>
  <si>
    <t>$418.70</t>
  </si>
  <si>
    <t>$430.14</t>
  </si>
  <si>
    <t>$448.74</t>
  </si>
  <si>
    <t>$430.01</t>
  </si>
  <si>
    <t>$435.90</t>
  </si>
  <si>
    <t>$450.902</t>
  </si>
  <si>
    <t>$433.0499</t>
  </si>
  <si>
    <t>$425.85</t>
  </si>
  <si>
    <t>$450.68</t>
  </si>
  <si>
    <t>$453.15</t>
  </si>
  <si>
    <t>$430.00</t>
  </si>
  <si>
    <t>$447.696</t>
  </si>
  <si>
    <t>$447.84</t>
  </si>
  <si>
    <t>$464.97</t>
  </si>
  <si>
    <t>$469.00</t>
  </si>
  <si>
    <t>$429.816</t>
  </si>
  <si>
    <t>$467.06</t>
  </si>
  <si>
    <t>$469.156</t>
  </si>
  <si>
    <t>$454.0729</t>
  </si>
  <si>
    <t>$458.1174</t>
  </si>
  <si>
    <t>$451.02</t>
  </si>
  <si>
    <t>$452.75</t>
  </si>
  <si>
    <t>$437.80</t>
  </si>
  <si>
    <t>$442.825</t>
  </si>
  <si>
    <t>$447.00</t>
  </si>
  <si>
    <t>$437.90</t>
  </si>
  <si>
    <t>$422.46</t>
  </si>
  <si>
    <t>$425.46</t>
  </si>
  <si>
    <t>$421.90</t>
  </si>
  <si>
    <t>$442.06</t>
  </si>
  <si>
    <t>$426.10</t>
  </si>
  <si>
    <t>$450.32</t>
  </si>
  <si>
    <t>$431.60</t>
  </si>
  <si>
    <t>$453.04</t>
  </si>
  <si>
    <t>$443.40</t>
  </si>
  <si>
    <t>$435.89</t>
  </si>
  <si>
    <t>$454.87</t>
  </si>
  <si>
    <t>$430.55</t>
  </si>
  <si>
    <t>$443.64</t>
  </si>
  <si>
    <t>$443.84</t>
  </si>
  <si>
    <t>$436.00</t>
  </si>
  <si>
    <t>$435.80</t>
  </si>
  <si>
    <t>$454.8125</t>
  </si>
  <si>
    <t>$433.69</t>
  </si>
  <si>
    <t>$451.21</t>
  </si>
  <si>
    <t>$433.684</t>
  </si>
  <si>
    <t>$433.07</t>
  </si>
  <si>
    <t>$441.54</t>
  </si>
  <si>
    <t>$427.11</t>
  </si>
  <si>
    <t>$448.25</t>
  </si>
  <si>
    <t>$443.53</t>
  </si>
  <si>
    <t>$420.95</t>
  </si>
  <si>
    <t>$425.30</t>
  </si>
  <si>
    <t>$422.50</t>
  </si>
  <si>
    <t>$426.48</t>
  </si>
  <si>
    <t>$435.42</t>
  </si>
  <si>
    <t>$419.50</t>
  </si>
  <si>
    <t>$430.58</t>
  </si>
  <si>
    <t>$441.32</t>
  </si>
  <si>
    <t>$426.00</t>
  </si>
  <si>
    <t>$443.3568</t>
  </si>
  <si>
    <t>$456.45</t>
  </si>
  <si>
    <t>$439.9101</t>
  </si>
  <si>
    <t>$428.49</t>
  </si>
  <si>
    <t>$437.46</t>
  </si>
  <si>
    <t>$424.45</t>
  </si>
  <si>
    <t>$450.93</t>
  </si>
  <si>
    <t>$432.956</t>
  </si>
  <si>
    <t>$442.592</t>
  </si>
  <si>
    <t>$451.598</t>
  </si>
  <si>
    <t>$440.25</t>
  </si>
  <si>
    <t>$439.39</t>
  </si>
  <si>
    <t>$451.90</t>
  </si>
  <si>
    <t>$454.22</t>
  </si>
  <si>
    <t>$458.142</t>
  </si>
  <si>
    <t>$439.20</t>
  </si>
  <si>
    <t>$472.404</t>
  </si>
  <si>
    <t>$444.33</t>
  </si>
  <si>
    <t>$464.8776</t>
  </si>
  <si>
    <t>$444.156</t>
  </si>
  <si>
    <t>$466.04</t>
  </si>
  <si>
    <t>$449.975</t>
  </si>
  <si>
    <t>$461.00</t>
  </si>
  <si>
    <t>$472.464</t>
  </si>
  <si>
    <t>$451.096</t>
  </si>
  <si>
    <t>$466.494</t>
  </si>
  <si>
    <t>$462.176</t>
  </si>
  <si>
    <t>$476.50</t>
  </si>
  <si>
    <t>$462.50</t>
  </si>
  <si>
    <t>$476.20</t>
  </si>
  <si>
    <t>$464.80</t>
  </si>
  <si>
    <t>$475.90</t>
  </si>
  <si>
    <t>$469.574</t>
  </si>
  <si>
    <t>$475.00</t>
  </si>
  <si>
    <t>$464.10</t>
  </si>
  <si>
    <t>$465.20</t>
  </si>
  <si>
    <t>$468.80</t>
  </si>
  <si>
    <t>$453.80</t>
  </si>
  <si>
    <t>$466.75</t>
  </si>
  <si>
    <t>$475.12</t>
  </si>
  <si>
    <t>$461.02</t>
  </si>
  <si>
    <t>$477.02</t>
  </si>
  <si>
    <t>$460.50</t>
  </si>
  <si>
    <t>$454.15</t>
  </si>
  <si>
    <t>$462.30</t>
  </si>
  <si>
    <t>$470.176</t>
  </si>
  <si>
    <t>$461.404</t>
  </si>
  <si>
    <t>$475.328</t>
  </si>
  <si>
    <t>$456.90</t>
  </si>
  <si>
    <t>$464.292</t>
  </si>
  <si>
    <t>$473.50</t>
  </si>
  <si>
    <t>$461.50</t>
  </si>
  <si>
    <t>$480.68</t>
  </si>
  <si>
    <t>$461.12</t>
  </si>
  <si>
    <t>$478.63</t>
  </si>
  <si>
    <t>$467.20</t>
  </si>
  <si>
    <t>$462.00</t>
  </si>
  <si>
    <t>$456.00</t>
  </si>
  <si>
    <t>$458.99</t>
  </si>
  <si>
    <t>$460.3166</t>
  </si>
  <si>
    <t>$449.96</t>
  </si>
  <si>
    <t>$458.525</t>
  </si>
  <si>
    <t>$461.1094</t>
  </si>
  <si>
    <t>$447.64</t>
  </si>
  <si>
    <t>$456.29</t>
  </si>
  <si>
    <t>$456.60</t>
  </si>
  <si>
    <t>$448.06</t>
  </si>
  <si>
    <t>$448.60</t>
  </si>
  <si>
    <t>$433.00</t>
  </si>
  <si>
    <t>$440.75</t>
  </si>
  <si>
    <t>$448.94</t>
  </si>
  <si>
    <t>$436.56</t>
  </si>
  <si>
    <t>$468.86</t>
  </si>
  <si>
    <t>$431.50</t>
  </si>
  <si>
    <t>$447.49</t>
  </si>
  <si>
    <t>$442.54</t>
  </si>
  <si>
    <t>$434.77</t>
  </si>
  <si>
    <t>$441.362</t>
  </si>
  <si>
    <t>$422.978</t>
  </si>
  <si>
    <t>$446.122</t>
  </si>
  <si>
    <t>$432.92</t>
  </si>
  <si>
    <t>$444.23</t>
  </si>
  <si>
    <t>$447.9876</t>
  </si>
  <si>
    <t>$439.24</t>
  </si>
  <si>
    <t>$438.49</t>
  </si>
  <si>
    <t>$441.198</t>
  </si>
  <si>
    <t>$410.36</t>
  </si>
  <si>
    <t>$444.05</t>
  </si>
  <si>
    <t>$428.80</t>
  </si>
  <si>
    <t>$447.378</t>
  </si>
  <si>
    <t>$431.92</t>
  </si>
  <si>
    <t>$430.64</t>
  </si>
  <si>
    <t>$446.00</t>
  </si>
  <si>
    <t>$446.94</t>
  </si>
  <si>
    <t>$447.4327</t>
  </si>
  <si>
    <t>$430.50</t>
  </si>
  <si>
    <t>$421.16</t>
  </si>
  <si>
    <t>$436.04</t>
  </si>
  <si>
    <t>$420.7402</t>
  </si>
  <si>
    <t>$432.74</t>
  </si>
  <si>
    <t>$435.61</t>
  </si>
  <si>
    <t>$414.05</t>
  </si>
  <si>
    <t>$429.52</t>
  </si>
  <si>
    <t>$417.20</t>
  </si>
  <si>
    <t>$424.044</t>
  </si>
  <si>
    <t>$432.40</t>
  </si>
  <si>
    <t>$418.60</t>
  </si>
  <si>
    <t>$433.56</t>
  </si>
  <si>
    <t>$437.294</t>
  </si>
  <si>
    <t>$420.40</t>
  </si>
  <si>
    <t>$428.87</t>
  </si>
  <si>
    <t>$440.48</t>
  </si>
  <si>
    <t>$428.40</t>
  </si>
  <si>
    <t>$442.65</t>
  </si>
  <si>
    <t>$431.68</t>
  </si>
  <si>
    <t>$438.116</t>
  </si>
  <si>
    <t>$447.01</t>
  </si>
  <si>
    <t>$435.784</t>
  </si>
  <si>
    <t>$447.15</t>
  </si>
  <si>
    <t>$427.16</t>
  </si>
  <si>
    <t>$430.25</t>
  </si>
  <si>
    <t>$438.20</t>
  </si>
  <si>
    <t>$438.36</t>
  </si>
  <si>
    <t>$439.5217</t>
  </si>
  <si>
    <t>$430.24</t>
  </si>
  <si>
    <t>$437.70</t>
  </si>
  <si>
    <t>$440.7153</t>
  </si>
  <si>
    <t>$435.40</t>
  </si>
  <si>
    <t>$441.618</t>
  </si>
  <si>
    <t>$432.072</t>
  </si>
  <si>
    <t>$430.40</t>
  </si>
  <si>
    <t>$425.45</t>
  </si>
  <si>
    <t>$421.00</t>
  </si>
  <si>
    <t>$424.494</t>
  </si>
  <si>
    <t>$410.40</t>
  </si>
  <si>
    <t>$416.40</t>
  </si>
  <si>
    <t>$434.45</t>
  </si>
  <si>
    <t>$406.20</t>
  </si>
  <si>
    <t>$429.20</t>
  </si>
  <si>
    <t>$414.00</t>
  </si>
  <si>
    <t>$405.15</t>
  </si>
  <si>
    <t>$421.40</t>
  </si>
  <si>
    <t>$404.2234</t>
  </si>
  <si>
    <t>$412.35</t>
  </si>
  <si>
    <t>$431.90</t>
  </si>
  <si>
    <t>$421.10</t>
  </si>
  <si>
    <t>$430.225</t>
  </si>
  <si>
    <t>$433.57</t>
  </si>
  <si>
    <t>$419.5499</t>
  </si>
  <si>
    <t>$437.18</t>
  </si>
  <si>
    <t>$426.3859</t>
  </si>
  <si>
    <t>$438.55</t>
  </si>
  <si>
    <t>$425.3499</t>
  </si>
  <si>
    <t>$440.64</t>
  </si>
  <si>
    <t>$442.85</t>
  </si>
  <si>
    <t>$434.15</t>
  </si>
  <si>
    <t>$444.79</t>
  </si>
  <si>
    <t>$428.36</t>
  </si>
  <si>
    <t>$429.30</t>
  </si>
  <si>
    <t>$440.70</t>
  </si>
  <si>
    <t>$443.50</t>
  </si>
  <si>
    <t>$424.00</t>
  </si>
  <si>
    <t>$440.00</t>
  </si>
  <si>
    <t>$428.00</t>
  </si>
  <si>
    <t>$447.50</t>
  </si>
  <si>
    <t>$435.1839</t>
  </si>
  <si>
    <t>$444.6178</t>
  </si>
  <si>
    <t>$428.60</t>
  </si>
  <si>
    <t>$420.76</t>
  </si>
  <si>
    <t>$437.866</t>
  </si>
  <si>
    <t>$415.05</t>
  </si>
  <si>
    <t>$436.83</t>
  </si>
  <si>
    <t>$413.95</t>
  </si>
  <si>
    <t>$422.00</t>
  </si>
  <si>
    <t>$430.45</t>
  </si>
  <si>
    <t>$420.7129</t>
  </si>
  <si>
    <t>$427.56</t>
  </si>
  <si>
    <t>$410.64</t>
  </si>
  <si>
    <t>$430.10</t>
  </si>
  <si>
    <t>$430.576</t>
  </si>
  <si>
    <t>$405.00</t>
  </si>
  <si>
    <t>$433.53</t>
  </si>
  <si>
    <t>$422.0499</t>
  </si>
  <si>
    <t>$428.70</t>
  </si>
  <si>
    <t>$430.20</t>
  </si>
  <si>
    <t>$432.224</t>
  </si>
  <si>
    <t>$434.20</t>
  </si>
  <si>
    <t>$423.806</t>
  </si>
  <si>
    <t>$428.888</t>
  </si>
  <si>
    <t>$444.37</t>
  </si>
  <si>
    <t>$441.16</t>
  </si>
  <si>
    <t>$418.20</t>
  </si>
  <si>
    <t>$428.27</t>
  </si>
  <si>
    <t>$428.6352</t>
  </si>
  <si>
    <t>$417.08</t>
  </si>
  <si>
    <t>$432.08</t>
  </si>
  <si>
    <t>$409.40</t>
  </si>
  <si>
    <t>$433.43</t>
  </si>
  <si>
    <t>$416.42</t>
  </si>
  <si>
    <t>$429.762</t>
  </si>
  <si>
    <t>$431.808</t>
  </si>
  <si>
    <t>$416.65</t>
  </si>
  <si>
    <t>$435.775</t>
  </si>
  <si>
    <t>$444.40</t>
  </si>
  <si>
    <t>$455.40</t>
  </si>
  <si>
    <t>$431.12</t>
  </si>
  <si>
    <t>$427.36</t>
  </si>
  <si>
    <t>$444.34</t>
  </si>
  <si>
    <t>$424.5499</t>
  </si>
  <si>
    <t>$439.082</t>
  </si>
  <si>
    <t>$413.96</t>
  </si>
  <si>
    <t>$432.776</t>
  </si>
  <si>
    <t>$419.24</t>
  </si>
  <si>
    <t>$450.342</t>
  </si>
  <si>
    <t>$431.4944</t>
  </si>
  <si>
    <t>$439.05</t>
  </si>
  <si>
    <t>$447.81</t>
  </si>
  <si>
    <t>$445.00</t>
  </si>
  <si>
    <t>$447.70</t>
  </si>
  <si>
    <t>$437.79</t>
  </si>
  <si>
    <t>$441.1846</t>
  </si>
  <si>
    <t>$443.5479</t>
  </si>
  <si>
    <t>$427.24</t>
  </si>
  <si>
    <t>$439.582</t>
  </si>
  <si>
    <t>$444.70</t>
  </si>
  <si>
    <t>$427.50</t>
  </si>
  <si>
    <t>$438.64</t>
  </si>
  <si>
    <t>$443.294</t>
  </si>
  <si>
    <t>$432.34</t>
  </si>
  <si>
    <t>$420.68</t>
  </si>
  <si>
    <t>$433.51</t>
  </si>
  <si>
    <t>$435.47</t>
  </si>
  <si>
    <t>$419.28</t>
  </si>
  <si>
    <t>$422.84</t>
  </si>
  <si>
    <t>$434.51</t>
  </si>
  <si>
    <t>$422.05</t>
  </si>
  <si>
    <t>$432.00</t>
  </si>
  <si>
    <t>$423.70</t>
  </si>
  <si>
    <t>$399.40</t>
  </si>
  <si>
    <t>$417.9358</t>
  </si>
  <si>
    <t>$407.44</t>
  </si>
  <si>
    <t>$407.80</t>
  </si>
  <si>
    <t>$379.00</t>
  </si>
  <si>
    <t>$370.10</t>
  </si>
  <si>
    <t>$415.00</t>
  </si>
  <si>
    <t>$381.25</t>
  </si>
  <si>
    <t>$392.35</t>
  </si>
  <si>
    <t>$377.55</t>
  </si>
  <si>
    <t>$386.85</t>
  </si>
  <si>
    <t>$390.499</t>
  </si>
  <si>
    <t>$384.888</t>
  </si>
  <si>
    <t>$391.76</t>
  </si>
  <si>
    <t>$401.69</t>
  </si>
  <si>
    <t>$387.75</t>
  </si>
  <si>
    <t>$392.1999</t>
  </si>
  <si>
    <t>$404.95</t>
  </si>
  <si>
    <t>$390.59</t>
  </si>
  <si>
    <t>$381.582</t>
  </si>
  <si>
    <t>$398.05</t>
  </si>
  <si>
    <t>$380.28</t>
  </si>
  <si>
    <t>$377.04</t>
  </si>
  <si>
    <t>$405.95</t>
  </si>
  <si>
    <t>$360.00</t>
  </si>
  <si>
    <t>$375.99</t>
  </si>
  <si>
    <t>$378.00</t>
  </si>
  <si>
    <t>$362.75</t>
  </si>
  <si>
    <t>$366.575</t>
  </si>
  <si>
    <t>$380.832</t>
  </si>
  <si>
    <t>$363.50</t>
  </si>
  <si>
    <t>$368.00</t>
  </si>
  <si>
    <t>$390.01</t>
  </si>
  <si>
    <t>$392.442</t>
  </si>
  <si>
    <t>$383.08</t>
  </si>
  <si>
    <t>$377.54</t>
  </si>
  <si>
    <t>$390.586</t>
  </si>
  <si>
    <t>$381.634</t>
  </si>
  <si>
    <t>$386.34</t>
  </si>
  <si>
    <t>$371.70</t>
  </si>
  <si>
    <t>$371.932</t>
  </si>
  <si>
    <t>$380.65</t>
  </si>
  <si>
    <t>$363.01</t>
  </si>
  <si>
    <t>$370.00</t>
  </si>
  <si>
    <t>$379.28</t>
  </si>
  <si>
    <t>$365.55</t>
  </si>
  <si>
    <t>$371.60</t>
  </si>
  <si>
    <t>$372.72</t>
  </si>
  <si>
    <t>$364.40</t>
  </si>
  <si>
    <t>$378.16</t>
  </si>
  <si>
    <t>$366.6846</t>
  </si>
  <si>
    <t>$373.86</t>
  </si>
  <si>
    <t>$385.538</t>
  </si>
  <si>
    <t>$373.664</t>
  </si>
  <si>
    <t>$380.68</t>
  </si>
  <si>
    <t>$385.41</t>
  </si>
  <si>
    <t>$374.49</t>
  </si>
  <si>
    <t>$383.07</t>
  </si>
  <si>
    <t>$387.96</t>
  </si>
  <si>
    <t>$376.89</t>
  </si>
  <si>
    <t>$394.51</t>
  </si>
  <si>
    <t>$398.25</t>
  </si>
  <si>
    <t>$383.29</t>
  </si>
  <si>
    <t>$394.00</t>
  </si>
  <si>
    <t>$398.20</t>
  </si>
  <si>
    <t>$387.00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</si>
</sst>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.0000000_-;\-* #,##0.0000000_-;_-* &quot;-&quot;??_-;_-@_-"/>
    <numFmt numFmtId="166" formatCode="0.0000000"/>
    <numFmt numFmtId="167" formatCode="0.00000000"/>
  </numFmts>
  <fonts count="3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 (Body)"/>
    </font>
    <font>
      <sz val="16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6"/>
      <color theme="1"/>
      <name val="Aptos Narrow"/>
      <family val="2"/>
      <scheme val="minor"/>
    </font>
    <font>
      <sz val="16"/>
      <color theme="1"/>
      <name val="Arial"/>
      <family val="2"/>
    </font>
    <font>
      <b/>
      <sz val="16"/>
      <color theme="1"/>
      <name val="Helvetica Neue"/>
      <family val="2"/>
    </font>
    <font>
      <sz val="16"/>
      <color theme="1"/>
      <name val="Helvetica Neue"/>
      <family val="2"/>
    </font>
    <font>
      <sz val="16"/>
      <color theme="1"/>
      <name val="Aptos Narrow"/>
      <scheme val="minor"/>
    </font>
    <font>
      <b/>
      <sz val="16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6"/>
      <color rgb="FF000000"/>
      <name val="Arial"/>
      <family val="2"/>
    </font>
    <font>
      <b/>
      <sz val="16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10" xfId="0" applyBorder="1"/>
    <xf numFmtId="0" fontId="20" fillId="0" borderId="0" xfId="0" applyFont="1"/>
    <xf numFmtId="0" fontId="21" fillId="0" borderId="0" xfId="0" applyFont="1"/>
    <xf numFmtId="0" fontId="23" fillId="0" borderId="0" xfId="0" applyFont="1"/>
    <xf numFmtId="0" fontId="22" fillId="0" borderId="0" xfId="0" applyFont="1"/>
    <xf numFmtId="14" fontId="23" fillId="0" borderId="0" xfId="0" applyNumberFormat="1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14" fontId="26" fillId="0" borderId="0" xfId="0" applyNumberFormat="1" applyFont="1"/>
    <xf numFmtId="0" fontId="28" fillId="0" borderId="0" xfId="0" applyFont="1"/>
    <xf numFmtId="0" fontId="29" fillId="0" borderId="0" xfId="0" applyFont="1"/>
    <xf numFmtId="0" fontId="19" fillId="0" borderId="10" xfId="0" applyFont="1" applyBorder="1"/>
    <xf numFmtId="0" fontId="30" fillId="0" borderId="10" xfId="0" applyFont="1" applyBorder="1"/>
    <xf numFmtId="165" fontId="0" fillId="0" borderId="0" xfId="1" applyNumberFormat="1" applyFont="1" applyBorder="1"/>
    <xf numFmtId="167" fontId="0" fillId="0" borderId="10" xfId="2" applyNumberFormat="1" applyFont="1" applyBorder="1"/>
    <xf numFmtId="0" fontId="30" fillId="0" borderId="0" xfId="0" applyFont="1"/>
    <xf numFmtId="166" fontId="21" fillId="0" borderId="0" xfId="0" applyNumberFormat="1" applyFont="1"/>
    <xf numFmtId="167" fontId="0" fillId="0" borderId="10" xfId="0" applyNumberFormat="1" applyBorder="1"/>
    <xf numFmtId="0" fontId="32" fillId="0" borderId="0" xfId="0" applyFont="1"/>
    <xf numFmtId="0" fontId="31" fillId="0" borderId="0" xfId="0" applyFont="1"/>
    <xf numFmtId="0" fontId="33" fillId="0" borderId="0" xfId="0" applyFont="1"/>
    <xf numFmtId="164" fontId="0" fillId="0" borderId="0" xfId="0" applyNumberFormat="1"/>
    <xf numFmtId="167" fontId="0" fillId="0" borderId="0" xfId="0" applyNumberFormat="1"/>
    <xf numFmtId="0" fontId="16" fillId="0" borderId="0" xfId="0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 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Closing Price/Simulation Value Plot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Kenechukwu!$C$1:$C$2</c:f>
              <c:strCache>
                <c:ptCount val="2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Kenechukwu!$B$3:$B$256</c:f>
              <c:strCache>
                <c:ptCount val="252"/>
                <c:pt idx="0">
                  <c:v>Date</c:v>
                </c:pt>
                <c:pt idx="1">
                  <c:v>03/18/2026</c:v>
                </c:pt>
                <c:pt idx="2">
                  <c:v>03/17/2026</c:v>
                </c:pt>
                <c:pt idx="3">
                  <c:v>03/16/2026</c:v>
                </c:pt>
                <c:pt idx="4">
                  <c:v>03/13/2026</c:v>
                </c:pt>
                <c:pt idx="5">
                  <c:v>03/12/2026</c:v>
                </c:pt>
                <c:pt idx="6">
                  <c:v>03/11/2026</c:v>
                </c:pt>
                <c:pt idx="7">
                  <c:v>03/10/2026</c:v>
                </c:pt>
                <c:pt idx="8">
                  <c:v>03/09/2026</c:v>
                </c:pt>
                <c:pt idx="9">
                  <c:v>03/06/2026</c:v>
                </c:pt>
                <c:pt idx="10">
                  <c:v>03/05/2026</c:v>
                </c:pt>
                <c:pt idx="11">
                  <c:v>03/04/2026</c:v>
                </c:pt>
                <c:pt idx="12">
                  <c:v>03/03/2026</c:v>
                </c:pt>
                <c:pt idx="13">
                  <c:v>03/02/2026</c:v>
                </c:pt>
                <c:pt idx="14">
                  <c:v>02/27/2026</c:v>
                </c:pt>
                <c:pt idx="15">
                  <c:v>02/26/2026</c:v>
                </c:pt>
                <c:pt idx="16">
                  <c:v>02/25/2026</c:v>
                </c:pt>
                <c:pt idx="17">
                  <c:v>02/24/2026</c:v>
                </c:pt>
                <c:pt idx="18">
                  <c:v>02/23/2026</c:v>
                </c:pt>
                <c:pt idx="19">
                  <c:v>02/20/2026</c:v>
                </c:pt>
                <c:pt idx="20">
                  <c:v>02/19/2026</c:v>
                </c:pt>
                <c:pt idx="21">
                  <c:v>02/18/2026</c:v>
                </c:pt>
                <c:pt idx="22">
                  <c:v>02/17/2026</c:v>
                </c:pt>
                <c:pt idx="23">
                  <c:v>02/13/2026</c:v>
                </c:pt>
                <c:pt idx="24">
                  <c:v>02/12/2026</c:v>
                </c:pt>
                <c:pt idx="25">
                  <c:v>02/11/2026</c:v>
                </c:pt>
                <c:pt idx="26">
                  <c:v>02/10/2026</c:v>
                </c:pt>
                <c:pt idx="27">
                  <c:v>02/09/2026</c:v>
                </c:pt>
                <c:pt idx="28">
                  <c:v>02/06/2026</c:v>
                </c:pt>
                <c:pt idx="29">
                  <c:v>02/05/2026</c:v>
                </c:pt>
                <c:pt idx="30">
                  <c:v>02/04/2026</c:v>
                </c:pt>
                <c:pt idx="31">
                  <c:v>02/03/2026</c:v>
                </c:pt>
                <c:pt idx="32">
                  <c:v>02/02/2026</c:v>
                </c:pt>
                <c:pt idx="33">
                  <c:v>01/30/2026</c:v>
                </c:pt>
                <c:pt idx="34">
                  <c:v>01/29/2026</c:v>
                </c:pt>
                <c:pt idx="35">
                  <c:v>01/28/2026</c:v>
                </c:pt>
                <c:pt idx="36">
                  <c:v>01/27/2026</c:v>
                </c:pt>
                <c:pt idx="37">
                  <c:v>01/26/2026</c:v>
                </c:pt>
                <c:pt idx="38">
                  <c:v>01/23/2026</c:v>
                </c:pt>
                <c:pt idx="39">
                  <c:v>01/22/2026</c:v>
                </c:pt>
                <c:pt idx="40">
                  <c:v>01/21/2026</c:v>
                </c:pt>
                <c:pt idx="41">
                  <c:v>01/20/2026</c:v>
                </c:pt>
                <c:pt idx="42">
                  <c:v>01/16/2026</c:v>
                </c:pt>
                <c:pt idx="43">
                  <c:v>01/15/2026</c:v>
                </c:pt>
                <c:pt idx="44">
                  <c:v>01/14/2026</c:v>
                </c:pt>
                <c:pt idx="45">
                  <c:v>01/13/2026</c:v>
                </c:pt>
                <c:pt idx="46">
                  <c:v>01/12/2026</c:v>
                </c:pt>
                <c:pt idx="47">
                  <c:v>01/09/2026</c:v>
                </c:pt>
                <c:pt idx="48">
                  <c:v>01/08/2026</c:v>
                </c:pt>
                <c:pt idx="49">
                  <c:v>01/07/2026</c:v>
                </c:pt>
                <c:pt idx="50">
                  <c:v>01/06/2026</c:v>
                </c:pt>
                <c:pt idx="51">
                  <c:v>01/05/2026</c:v>
                </c:pt>
                <c:pt idx="52">
                  <c:v>01/02/2026</c:v>
                </c:pt>
                <c:pt idx="53">
                  <c:v>12/31/2025</c:v>
                </c:pt>
                <c:pt idx="54">
                  <c:v>12/30/2025</c:v>
                </c:pt>
                <c:pt idx="55">
                  <c:v>12/29/2025</c:v>
                </c:pt>
                <c:pt idx="56">
                  <c:v>12/26/2025</c:v>
                </c:pt>
                <c:pt idx="57">
                  <c:v>12/24/2025</c:v>
                </c:pt>
                <c:pt idx="58">
                  <c:v>12/23/2025</c:v>
                </c:pt>
                <c:pt idx="59">
                  <c:v>12/22/2025</c:v>
                </c:pt>
                <c:pt idx="60">
                  <c:v>12/19/2025</c:v>
                </c:pt>
                <c:pt idx="61">
                  <c:v>12/18/2025</c:v>
                </c:pt>
                <c:pt idx="62">
                  <c:v>12/17/2025</c:v>
                </c:pt>
                <c:pt idx="63">
                  <c:v>12/16/2025</c:v>
                </c:pt>
                <c:pt idx="64">
                  <c:v>12/15/2025</c:v>
                </c:pt>
                <c:pt idx="65">
                  <c:v>12/12/2025</c:v>
                </c:pt>
                <c:pt idx="66">
                  <c:v>12/11/2025</c:v>
                </c:pt>
                <c:pt idx="67">
                  <c:v>12/10/2025</c:v>
                </c:pt>
                <c:pt idx="68">
                  <c:v>12/09/2025</c:v>
                </c:pt>
                <c:pt idx="69">
                  <c:v>12/08/2025</c:v>
                </c:pt>
                <c:pt idx="70">
                  <c:v>12/05/2025</c:v>
                </c:pt>
                <c:pt idx="71">
                  <c:v>12/04/2025</c:v>
                </c:pt>
                <c:pt idx="72">
                  <c:v>12/03/2025</c:v>
                </c:pt>
                <c:pt idx="73">
                  <c:v>12/02/2025</c:v>
                </c:pt>
                <c:pt idx="74">
                  <c:v>12/01/2025</c:v>
                </c:pt>
                <c:pt idx="75">
                  <c:v>11/28/2025</c:v>
                </c:pt>
                <c:pt idx="76">
                  <c:v>11/26/2025</c:v>
                </c:pt>
                <c:pt idx="77">
                  <c:v>11/25/2025</c:v>
                </c:pt>
                <c:pt idx="78">
                  <c:v>11/24/2025</c:v>
                </c:pt>
                <c:pt idx="79">
                  <c:v>11/21/2025</c:v>
                </c:pt>
                <c:pt idx="80">
                  <c:v>11/20/2025</c:v>
                </c:pt>
                <c:pt idx="81">
                  <c:v>11/19/2025</c:v>
                </c:pt>
                <c:pt idx="82">
                  <c:v>11/18/2025</c:v>
                </c:pt>
                <c:pt idx="83">
                  <c:v>11/17/2025</c:v>
                </c:pt>
                <c:pt idx="84">
                  <c:v>11/14/2025</c:v>
                </c:pt>
                <c:pt idx="85">
                  <c:v>11/13/2025</c:v>
                </c:pt>
                <c:pt idx="86">
                  <c:v>11/12/2025</c:v>
                </c:pt>
                <c:pt idx="87">
                  <c:v>11/11/2025</c:v>
                </c:pt>
                <c:pt idx="88">
                  <c:v>11/10/2025</c:v>
                </c:pt>
                <c:pt idx="89">
                  <c:v>11/07/2025</c:v>
                </c:pt>
                <c:pt idx="90">
                  <c:v>11/06/2025</c:v>
                </c:pt>
                <c:pt idx="91">
                  <c:v>11/05/2025</c:v>
                </c:pt>
                <c:pt idx="92">
                  <c:v>11/04/2025</c:v>
                </c:pt>
                <c:pt idx="93">
                  <c:v>11/03/2025</c:v>
                </c:pt>
                <c:pt idx="94">
                  <c:v>10/31/2025</c:v>
                </c:pt>
                <c:pt idx="95">
                  <c:v>10/30/2025</c:v>
                </c:pt>
                <c:pt idx="96">
                  <c:v>10/29/2025</c:v>
                </c:pt>
                <c:pt idx="97">
                  <c:v>10/28/2025</c:v>
                </c:pt>
                <c:pt idx="98">
                  <c:v>10/27/2025</c:v>
                </c:pt>
                <c:pt idx="99">
                  <c:v>10/24/2025</c:v>
                </c:pt>
                <c:pt idx="100">
                  <c:v>10/23/2025</c:v>
                </c:pt>
                <c:pt idx="101">
                  <c:v>10/22/2025</c:v>
                </c:pt>
                <c:pt idx="102">
                  <c:v>10/21/2025</c:v>
                </c:pt>
                <c:pt idx="103">
                  <c:v>10/20/2025</c:v>
                </c:pt>
                <c:pt idx="104">
                  <c:v>10/17/2025</c:v>
                </c:pt>
                <c:pt idx="105">
                  <c:v>10/16/2025</c:v>
                </c:pt>
                <c:pt idx="106">
                  <c:v>10/15/2025</c:v>
                </c:pt>
                <c:pt idx="107">
                  <c:v>10/14/2025</c:v>
                </c:pt>
                <c:pt idx="108">
                  <c:v>10/13/2025</c:v>
                </c:pt>
                <c:pt idx="109">
                  <c:v>10/10/2025</c:v>
                </c:pt>
                <c:pt idx="110">
                  <c:v>10/09/2025</c:v>
                </c:pt>
                <c:pt idx="111">
                  <c:v>10/08/2025</c:v>
                </c:pt>
                <c:pt idx="112">
                  <c:v>10/07/2025</c:v>
                </c:pt>
                <c:pt idx="113">
                  <c:v>10/06/2025</c:v>
                </c:pt>
                <c:pt idx="114">
                  <c:v>10/03/2025</c:v>
                </c:pt>
                <c:pt idx="115">
                  <c:v>10/02/2025</c:v>
                </c:pt>
                <c:pt idx="116">
                  <c:v>10/01/2025</c:v>
                </c:pt>
                <c:pt idx="117">
                  <c:v>09/30/2025</c:v>
                </c:pt>
                <c:pt idx="118">
                  <c:v>09/29/2025</c:v>
                </c:pt>
                <c:pt idx="119">
                  <c:v>09/26/2025</c:v>
                </c:pt>
                <c:pt idx="120">
                  <c:v>09/25/2025</c:v>
                </c:pt>
                <c:pt idx="121">
                  <c:v>09/24/2025</c:v>
                </c:pt>
                <c:pt idx="122">
                  <c:v>09/23/2025</c:v>
                </c:pt>
                <c:pt idx="123">
                  <c:v>09/22/2025</c:v>
                </c:pt>
                <c:pt idx="124">
                  <c:v>09/19/2025</c:v>
                </c:pt>
                <c:pt idx="125">
                  <c:v>09/18/2025</c:v>
                </c:pt>
                <c:pt idx="126">
                  <c:v>09/17/2025</c:v>
                </c:pt>
                <c:pt idx="127">
                  <c:v>09/16/2025</c:v>
                </c:pt>
                <c:pt idx="128">
                  <c:v>09/15/2025</c:v>
                </c:pt>
                <c:pt idx="129">
                  <c:v>09/12/2025</c:v>
                </c:pt>
                <c:pt idx="130">
                  <c:v>09/11/2025</c:v>
                </c:pt>
                <c:pt idx="131">
                  <c:v>09/10/2025</c:v>
                </c:pt>
                <c:pt idx="132">
                  <c:v>09/09/2025</c:v>
                </c:pt>
                <c:pt idx="133">
                  <c:v>09/08/2025</c:v>
                </c:pt>
                <c:pt idx="134">
                  <c:v>09/05/2025</c:v>
                </c:pt>
                <c:pt idx="135">
                  <c:v>09/04/2025</c:v>
                </c:pt>
                <c:pt idx="136">
                  <c:v>09/03/2025</c:v>
                </c:pt>
                <c:pt idx="137">
                  <c:v>09/02/2025</c:v>
                </c:pt>
                <c:pt idx="138">
                  <c:v>08/29/2025</c:v>
                </c:pt>
                <c:pt idx="139">
                  <c:v>08/28/2025</c:v>
                </c:pt>
                <c:pt idx="140">
                  <c:v>08/27/2025</c:v>
                </c:pt>
                <c:pt idx="141">
                  <c:v>08/26/2025</c:v>
                </c:pt>
                <c:pt idx="142">
                  <c:v>08/25/2025</c:v>
                </c:pt>
                <c:pt idx="143">
                  <c:v>08/22/2025</c:v>
                </c:pt>
                <c:pt idx="144">
                  <c:v>08/21/2025</c:v>
                </c:pt>
                <c:pt idx="145">
                  <c:v>08/20/2025</c:v>
                </c:pt>
                <c:pt idx="146">
                  <c:v>08/19/2025</c:v>
                </c:pt>
                <c:pt idx="147">
                  <c:v>08/18/2025</c:v>
                </c:pt>
                <c:pt idx="148">
                  <c:v>08/15/2025</c:v>
                </c:pt>
                <c:pt idx="149">
                  <c:v>08/14/2025</c:v>
                </c:pt>
                <c:pt idx="150">
                  <c:v>08/13/2025</c:v>
                </c:pt>
                <c:pt idx="151">
                  <c:v>08/12/2025</c:v>
                </c:pt>
                <c:pt idx="152">
                  <c:v>08/11/2025</c:v>
                </c:pt>
                <c:pt idx="153">
                  <c:v>08/08/2025</c:v>
                </c:pt>
                <c:pt idx="154">
                  <c:v>08/07/2025</c:v>
                </c:pt>
                <c:pt idx="155">
                  <c:v>08/06/2025</c:v>
                </c:pt>
                <c:pt idx="156">
                  <c:v>08/05/2025</c:v>
                </c:pt>
                <c:pt idx="157">
                  <c:v>08/04/2025</c:v>
                </c:pt>
                <c:pt idx="158">
                  <c:v>08/01/2025</c:v>
                </c:pt>
                <c:pt idx="159">
                  <c:v>07/31/2025</c:v>
                </c:pt>
                <c:pt idx="160">
                  <c:v>07/30/2025</c:v>
                </c:pt>
                <c:pt idx="161">
                  <c:v>07/29/2025</c:v>
                </c:pt>
                <c:pt idx="162">
                  <c:v>07/28/2025</c:v>
                </c:pt>
                <c:pt idx="163">
                  <c:v>07/25/2025</c:v>
                </c:pt>
                <c:pt idx="164">
                  <c:v>07/24/2025</c:v>
                </c:pt>
                <c:pt idx="165">
                  <c:v>07/23/2025</c:v>
                </c:pt>
                <c:pt idx="166">
                  <c:v>07/22/2025</c:v>
                </c:pt>
                <c:pt idx="167">
                  <c:v>07/21/2025</c:v>
                </c:pt>
                <c:pt idx="168">
                  <c:v>07/18/2025</c:v>
                </c:pt>
                <c:pt idx="169">
                  <c:v>07/17/2025</c:v>
                </c:pt>
                <c:pt idx="170">
                  <c:v>07/16/2025</c:v>
                </c:pt>
                <c:pt idx="171">
                  <c:v>07/15/2025</c:v>
                </c:pt>
                <c:pt idx="172">
                  <c:v>07/14/2025</c:v>
                </c:pt>
                <c:pt idx="173">
                  <c:v>07/11/2025</c:v>
                </c:pt>
                <c:pt idx="174">
                  <c:v>07/10/2025</c:v>
                </c:pt>
                <c:pt idx="175">
                  <c:v>07/09/2025</c:v>
                </c:pt>
                <c:pt idx="176">
                  <c:v>07/08/2025</c:v>
                </c:pt>
                <c:pt idx="177">
                  <c:v>07/07/2025</c:v>
                </c:pt>
                <c:pt idx="178">
                  <c:v>07/03/2025</c:v>
                </c:pt>
                <c:pt idx="179">
                  <c:v>07/02/2025</c:v>
                </c:pt>
                <c:pt idx="180">
                  <c:v>07/01/2025</c:v>
                </c:pt>
                <c:pt idx="181">
                  <c:v>06/30/2025</c:v>
                </c:pt>
                <c:pt idx="182">
                  <c:v>06/27/2025</c:v>
                </c:pt>
                <c:pt idx="183">
                  <c:v>06/26/2025</c:v>
                </c:pt>
                <c:pt idx="184">
                  <c:v>06/25/2025</c:v>
                </c:pt>
                <c:pt idx="185">
                  <c:v>06/24/2025</c:v>
                </c:pt>
                <c:pt idx="186">
                  <c:v>06/23/2025</c:v>
                </c:pt>
                <c:pt idx="187">
                  <c:v>06/20/2025</c:v>
                </c:pt>
                <c:pt idx="188">
                  <c:v>06/18/2025</c:v>
                </c:pt>
                <c:pt idx="189">
                  <c:v>06/17/2025</c:v>
                </c:pt>
                <c:pt idx="190">
                  <c:v>06/16/2025</c:v>
                </c:pt>
                <c:pt idx="191">
                  <c:v>06/13/2025</c:v>
                </c:pt>
                <c:pt idx="192">
                  <c:v>06/12/2025</c:v>
                </c:pt>
                <c:pt idx="193">
                  <c:v>06/11/2025</c:v>
                </c:pt>
                <c:pt idx="194">
                  <c:v>06/10/2025</c:v>
                </c:pt>
                <c:pt idx="195">
                  <c:v>06/09/2025</c:v>
                </c:pt>
                <c:pt idx="196">
                  <c:v>06/06/2025</c:v>
                </c:pt>
                <c:pt idx="197">
                  <c:v>06/05/2025</c:v>
                </c:pt>
                <c:pt idx="198">
                  <c:v>06/04/2025</c:v>
                </c:pt>
                <c:pt idx="199">
                  <c:v>06/03/2025</c:v>
                </c:pt>
                <c:pt idx="200">
                  <c:v>06/02/2025</c:v>
                </c:pt>
                <c:pt idx="201">
                  <c:v>05/30/2025</c:v>
                </c:pt>
                <c:pt idx="202">
                  <c:v>05/29/2025</c:v>
                </c:pt>
                <c:pt idx="203">
                  <c:v>05/28/2025</c:v>
                </c:pt>
                <c:pt idx="204">
                  <c:v>05/27/2025</c:v>
                </c:pt>
                <c:pt idx="205">
                  <c:v>05/23/2025</c:v>
                </c:pt>
                <c:pt idx="206">
                  <c:v>05/22/2025</c:v>
                </c:pt>
                <c:pt idx="207">
                  <c:v>05/21/2025</c:v>
                </c:pt>
                <c:pt idx="208">
                  <c:v>05/20/2025</c:v>
                </c:pt>
                <c:pt idx="209">
                  <c:v>05/19/2025</c:v>
                </c:pt>
                <c:pt idx="210">
                  <c:v>05/16/2025</c:v>
                </c:pt>
                <c:pt idx="211">
                  <c:v>05/15/2025</c:v>
                </c:pt>
                <c:pt idx="212">
                  <c:v>05/14/2025</c:v>
                </c:pt>
                <c:pt idx="213">
                  <c:v>05/13/2025</c:v>
                </c:pt>
                <c:pt idx="214">
                  <c:v>05/12/2025</c:v>
                </c:pt>
                <c:pt idx="215">
                  <c:v>05/09/2025</c:v>
                </c:pt>
                <c:pt idx="216">
                  <c:v>05/08/2025</c:v>
                </c:pt>
                <c:pt idx="217">
                  <c:v>05/07/2025</c:v>
                </c:pt>
                <c:pt idx="218">
                  <c:v>05/06/2025</c:v>
                </c:pt>
                <c:pt idx="219">
                  <c:v>05/05/2025</c:v>
                </c:pt>
                <c:pt idx="220">
                  <c:v>05/02/2025</c:v>
                </c:pt>
                <c:pt idx="221">
                  <c:v>05/01/2025</c:v>
                </c:pt>
                <c:pt idx="222">
                  <c:v>04/30/2025</c:v>
                </c:pt>
                <c:pt idx="223">
                  <c:v>04/29/2025</c:v>
                </c:pt>
                <c:pt idx="224">
                  <c:v>04/28/2025</c:v>
                </c:pt>
                <c:pt idx="225">
                  <c:v>04/25/2025</c:v>
                </c:pt>
                <c:pt idx="226">
                  <c:v>04/24/2025</c:v>
                </c:pt>
                <c:pt idx="227">
                  <c:v>04/23/2025</c:v>
                </c:pt>
                <c:pt idx="228">
                  <c:v>04/22/2025</c:v>
                </c:pt>
                <c:pt idx="229">
                  <c:v>04/21/2025</c:v>
                </c:pt>
                <c:pt idx="230">
                  <c:v>04/17/2025</c:v>
                </c:pt>
                <c:pt idx="231">
                  <c:v>04/16/2025</c:v>
                </c:pt>
                <c:pt idx="232">
                  <c:v>04/15/2025</c:v>
                </c:pt>
                <c:pt idx="233">
                  <c:v>04/14/2025</c:v>
                </c:pt>
                <c:pt idx="234">
                  <c:v>04/11/2025</c:v>
                </c:pt>
                <c:pt idx="235">
                  <c:v>04/10/2025</c:v>
                </c:pt>
                <c:pt idx="236">
                  <c:v>04/09/2025</c:v>
                </c:pt>
                <c:pt idx="237">
                  <c:v>04/08/2025</c:v>
                </c:pt>
                <c:pt idx="238">
                  <c:v>04/07/2025</c:v>
                </c:pt>
                <c:pt idx="239">
                  <c:v>04/04/2025</c:v>
                </c:pt>
                <c:pt idx="240">
                  <c:v>04/03/2025</c:v>
                </c:pt>
                <c:pt idx="241">
                  <c:v>04/02/2025</c:v>
                </c:pt>
                <c:pt idx="242">
                  <c:v>04/01/2025</c:v>
                </c:pt>
                <c:pt idx="243">
                  <c:v>03/31/2025</c:v>
                </c:pt>
                <c:pt idx="244">
                  <c:v>03/28/2025</c:v>
                </c:pt>
                <c:pt idx="245">
                  <c:v>03/27/2025</c:v>
                </c:pt>
                <c:pt idx="246">
                  <c:v>03/26/2025</c:v>
                </c:pt>
                <c:pt idx="247">
                  <c:v>03/25/2025</c:v>
                </c:pt>
                <c:pt idx="248">
                  <c:v>03/24/2025</c:v>
                </c:pt>
                <c:pt idx="249">
                  <c:v>03/21/2025</c:v>
                </c:pt>
                <c:pt idx="250">
                  <c:v>03/20/2025</c:v>
                </c:pt>
                <c:pt idx="251">
                  <c:v>03/19/2025</c:v>
                </c:pt>
              </c:strCache>
            </c:strRef>
          </c:cat>
          <c:val>
            <c:numRef>
              <c:f>Kenechukwu!$C$3:$C$256</c:f>
              <c:numCache>
                <c:formatCode>General</c:formatCode>
                <c:ptCount val="254"/>
                <c:pt idx="0">
                  <c:v>0</c:v>
                </c:pt>
                <c:pt idx="1">
                  <c:v>0.68569999999999998</c:v>
                </c:pt>
                <c:pt idx="2">
                  <c:v>0.64019999999999999</c:v>
                </c:pt>
                <c:pt idx="3">
                  <c:v>0.62180000000000002</c:v>
                </c:pt>
                <c:pt idx="4">
                  <c:v>0.61539999999999995</c:v>
                </c:pt>
                <c:pt idx="5">
                  <c:v>0.62719999999999998</c:v>
                </c:pt>
                <c:pt idx="6">
                  <c:v>0.60170000000000001</c:v>
                </c:pt>
                <c:pt idx="7">
                  <c:v>0.66849999999999998</c:v>
                </c:pt>
                <c:pt idx="8">
                  <c:v>0.65400000000000003</c:v>
                </c:pt>
                <c:pt idx="9">
                  <c:v>0.63009999999999999</c:v>
                </c:pt>
                <c:pt idx="10">
                  <c:v>0.61270000000000002</c:v>
                </c:pt>
                <c:pt idx="11">
                  <c:v>0.62</c:v>
                </c:pt>
                <c:pt idx="12">
                  <c:v>0.61319999999999997</c:v>
                </c:pt>
                <c:pt idx="13">
                  <c:v>0.61150000000000004</c:v>
                </c:pt>
                <c:pt idx="14">
                  <c:v>0.64900000000000002</c:v>
                </c:pt>
                <c:pt idx="15">
                  <c:v>0.64729999999999999</c:v>
                </c:pt>
                <c:pt idx="16">
                  <c:v>0.68569999999999998</c:v>
                </c:pt>
                <c:pt idx="17">
                  <c:v>0.68520000000000003</c:v>
                </c:pt>
                <c:pt idx="18">
                  <c:v>0.72599999999999998</c:v>
                </c:pt>
                <c:pt idx="19">
                  <c:v>0.74739999999999995</c:v>
                </c:pt>
                <c:pt idx="20">
                  <c:v>0.7671</c:v>
                </c:pt>
                <c:pt idx="21">
                  <c:v>0.79159999999999997</c:v>
                </c:pt>
                <c:pt idx="22">
                  <c:v>0.83160000000000001</c:v>
                </c:pt>
                <c:pt idx="23">
                  <c:v>0.83930000000000005</c:v>
                </c:pt>
                <c:pt idx="24">
                  <c:v>0.76959999999999995</c:v>
                </c:pt>
                <c:pt idx="25">
                  <c:v>0.75900000000000001</c:v>
                </c:pt>
                <c:pt idx="26">
                  <c:v>0.752</c:v>
                </c:pt>
                <c:pt idx="27">
                  <c:v>0.8</c:v>
                </c:pt>
                <c:pt idx="28">
                  <c:v>0.77</c:v>
                </c:pt>
                <c:pt idx="29">
                  <c:v>0.75049999999999994</c:v>
                </c:pt>
                <c:pt idx="30">
                  <c:v>0.84050000000000002</c:v>
                </c:pt>
                <c:pt idx="31">
                  <c:v>0.83420000000000005</c:v>
                </c:pt>
                <c:pt idx="32">
                  <c:v>0.8508</c:v>
                </c:pt>
                <c:pt idx="33">
                  <c:v>0.85499999999999998</c:v>
                </c:pt>
                <c:pt idx="34">
                  <c:v>0.81699999999999995</c:v>
                </c:pt>
                <c:pt idx="35">
                  <c:v>0.80549999999999999</c:v>
                </c:pt>
                <c:pt idx="36">
                  <c:v>0.78500000000000003</c:v>
                </c:pt>
                <c:pt idx="37">
                  <c:v>0.7</c:v>
                </c:pt>
                <c:pt idx="38">
                  <c:v>0.88049999999999995</c:v>
                </c:pt>
                <c:pt idx="39">
                  <c:v>0.79500000000000004</c:v>
                </c:pt>
                <c:pt idx="40">
                  <c:v>0.79500000000000004</c:v>
                </c:pt>
                <c:pt idx="41">
                  <c:v>0.77049999999999996</c:v>
                </c:pt>
                <c:pt idx="42">
                  <c:v>0.67159999999999997</c:v>
                </c:pt>
                <c:pt idx="43">
                  <c:v>0.5363</c:v>
                </c:pt>
                <c:pt idx="44">
                  <c:v>0.48130000000000001</c:v>
                </c:pt>
                <c:pt idx="45">
                  <c:v>0.46239999999999998</c:v>
                </c:pt>
                <c:pt idx="46">
                  <c:v>0.46260000000000001</c:v>
                </c:pt>
                <c:pt idx="47">
                  <c:v>0.45479999999999998</c:v>
                </c:pt>
                <c:pt idx="48">
                  <c:v>0.42899999999999999</c:v>
                </c:pt>
                <c:pt idx="49">
                  <c:v>0.47670000000000001</c:v>
                </c:pt>
                <c:pt idx="50">
                  <c:v>0.40150000000000002</c:v>
                </c:pt>
                <c:pt idx="51">
                  <c:v>0.42299999999999999</c:v>
                </c:pt>
                <c:pt idx="52">
                  <c:v>0.44219999999999998</c:v>
                </c:pt>
                <c:pt idx="53">
                  <c:v>0.41</c:v>
                </c:pt>
                <c:pt idx="54">
                  <c:v>0.38369999999999999</c:v>
                </c:pt>
                <c:pt idx="55">
                  <c:v>0.40260000000000001</c:v>
                </c:pt>
                <c:pt idx="56">
                  <c:v>0.39</c:v>
                </c:pt>
                <c:pt idx="57">
                  <c:v>0.41</c:v>
                </c:pt>
                <c:pt idx="58">
                  <c:v>0.42299999999999999</c:v>
                </c:pt>
                <c:pt idx="59">
                  <c:v>0.41370000000000001</c:v>
                </c:pt>
                <c:pt idx="60">
                  <c:v>0.43120000000000003</c:v>
                </c:pt>
                <c:pt idx="61">
                  <c:v>0.41899999999999998</c:v>
                </c:pt>
                <c:pt idx="62">
                  <c:v>0.42770000000000002</c:v>
                </c:pt>
                <c:pt idx="63">
                  <c:v>0.48399999999999999</c:v>
                </c:pt>
                <c:pt idx="64">
                  <c:v>0.53600000000000003</c:v>
                </c:pt>
                <c:pt idx="65">
                  <c:v>0.61899999999999999</c:v>
                </c:pt>
                <c:pt idx="66">
                  <c:v>0.6391</c:v>
                </c:pt>
                <c:pt idx="67">
                  <c:v>0.67349999999999999</c:v>
                </c:pt>
                <c:pt idx="68">
                  <c:v>0.66100000000000003</c:v>
                </c:pt>
                <c:pt idx="69">
                  <c:v>0.69899999999999995</c:v>
                </c:pt>
                <c:pt idx="70">
                  <c:v>0.73009999999999997</c:v>
                </c:pt>
                <c:pt idx="71">
                  <c:v>0.81</c:v>
                </c:pt>
                <c:pt idx="72">
                  <c:v>0.76770000000000005</c:v>
                </c:pt>
                <c:pt idx="73">
                  <c:v>0.78</c:v>
                </c:pt>
                <c:pt idx="74">
                  <c:v>0.72699999999999998</c:v>
                </c:pt>
                <c:pt idx="75">
                  <c:v>0.75</c:v>
                </c:pt>
                <c:pt idx="76">
                  <c:v>0.66</c:v>
                </c:pt>
                <c:pt idx="77">
                  <c:v>0.50929999999999997</c:v>
                </c:pt>
                <c:pt idx="78">
                  <c:v>0.9</c:v>
                </c:pt>
                <c:pt idx="79">
                  <c:v>0.74060000000000004</c:v>
                </c:pt>
                <c:pt idx="80">
                  <c:v>0.97299999999999998</c:v>
                </c:pt>
                <c:pt idx="81">
                  <c:v>1.26</c:v>
                </c:pt>
                <c:pt idx="82">
                  <c:v>1.34</c:v>
                </c:pt>
                <c:pt idx="83">
                  <c:v>1.39</c:v>
                </c:pt>
                <c:pt idx="84">
                  <c:v>1.1499999999999999</c:v>
                </c:pt>
                <c:pt idx="85">
                  <c:v>1.37</c:v>
                </c:pt>
                <c:pt idx="86">
                  <c:v>1.52</c:v>
                </c:pt>
                <c:pt idx="87">
                  <c:v>1.57</c:v>
                </c:pt>
                <c:pt idx="88">
                  <c:v>1.58</c:v>
                </c:pt>
                <c:pt idx="89">
                  <c:v>1.66</c:v>
                </c:pt>
                <c:pt idx="90">
                  <c:v>1.7</c:v>
                </c:pt>
                <c:pt idx="91">
                  <c:v>1.76</c:v>
                </c:pt>
                <c:pt idx="92">
                  <c:v>1.74</c:v>
                </c:pt>
                <c:pt idx="93">
                  <c:v>1.91</c:v>
                </c:pt>
                <c:pt idx="94">
                  <c:v>1.92</c:v>
                </c:pt>
                <c:pt idx="95">
                  <c:v>1.94</c:v>
                </c:pt>
                <c:pt idx="96">
                  <c:v>2</c:v>
                </c:pt>
                <c:pt idx="97">
                  <c:v>2.0699999999999998</c:v>
                </c:pt>
                <c:pt idx="98">
                  <c:v>2.0299999999999998</c:v>
                </c:pt>
                <c:pt idx="99">
                  <c:v>2.0699999999999998</c:v>
                </c:pt>
                <c:pt idx="100">
                  <c:v>2.1800000000000002</c:v>
                </c:pt>
                <c:pt idx="101">
                  <c:v>2.15</c:v>
                </c:pt>
                <c:pt idx="102">
                  <c:v>2.2400000000000002</c:v>
                </c:pt>
                <c:pt idx="103">
                  <c:v>2.2000000000000002</c:v>
                </c:pt>
                <c:pt idx="104">
                  <c:v>2.1850000000000001</c:v>
                </c:pt>
                <c:pt idx="105">
                  <c:v>2.4500000000000002</c:v>
                </c:pt>
                <c:pt idx="106">
                  <c:v>3.01</c:v>
                </c:pt>
                <c:pt idx="107">
                  <c:v>3</c:v>
                </c:pt>
                <c:pt idx="108">
                  <c:v>2.67</c:v>
                </c:pt>
                <c:pt idx="109">
                  <c:v>2.42</c:v>
                </c:pt>
                <c:pt idx="110">
                  <c:v>2.44</c:v>
                </c:pt>
                <c:pt idx="111">
                  <c:v>2.63</c:v>
                </c:pt>
                <c:pt idx="112">
                  <c:v>2.77</c:v>
                </c:pt>
                <c:pt idx="113">
                  <c:v>2.85</c:v>
                </c:pt>
                <c:pt idx="114">
                  <c:v>2.9</c:v>
                </c:pt>
                <c:pt idx="115">
                  <c:v>2.59</c:v>
                </c:pt>
                <c:pt idx="116">
                  <c:v>2.4300000000000002</c:v>
                </c:pt>
                <c:pt idx="117">
                  <c:v>2.42</c:v>
                </c:pt>
                <c:pt idx="118">
                  <c:v>2.5099999999999998</c:v>
                </c:pt>
                <c:pt idx="119">
                  <c:v>2.58</c:v>
                </c:pt>
                <c:pt idx="120">
                  <c:v>2.41</c:v>
                </c:pt>
                <c:pt idx="121">
                  <c:v>2.2999999999999998</c:v>
                </c:pt>
                <c:pt idx="122">
                  <c:v>2.34</c:v>
                </c:pt>
                <c:pt idx="123">
                  <c:v>2.46</c:v>
                </c:pt>
                <c:pt idx="124">
                  <c:v>2.2799999999999998</c:v>
                </c:pt>
                <c:pt idx="125">
                  <c:v>2.34</c:v>
                </c:pt>
                <c:pt idx="126">
                  <c:v>2.36</c:v>
                </c:pt>
                <c:pt idx="127">
                  <c:v>2.36</c:v>
                </c:pt>
                <c:pt idx="128">
                  <c:v>2.29</c:v>
                </c:pt>
                <c:pt idx="129">
                  <c:v>2.15</c:v>
                </c:pt>
                <c:pt idx="130">
                  <c:v>2.1</c:v>
                </c:pt>
                <c:pt idx="131">
                  <c:v>2.31</c:v>
                </c:pt>
                <c:pt idx="132">
                  <c:v>2.1800000000000002</c:v>
                </c:pt>
                <c:pt idx="133">
                  <c:v>2.42</c:v>
                </c:pt>
                <c:pt idx="134">
                  <c:v>2.44</c:v>
                </c:pt>
                <c:pt idx="135">
                  <c:v>2.23</c:v>
                </c:pt>
                <c:pt idx="136">
                  <c:v>2.0499999999999998</c:v>
                </c:pt>
                <c:pt idx="137">
                  <c:v>2.14</c:v>
                </c:pt>
                <c:pt idx="138">
                  <c:v>1.73</c:v>
                </c:pt>
                <c:pt idx="139">
                  <c:v>1.85</c:v>
                </c:pt>
                <c:pt idx="140">
                  <c:v>1.86</c:v>
                </c:pt>
                <c:pt idx="141">
                  <c:v>1.89</c:v>
                </c:pt>
                <c:pt idx="142">
                  <c:v>2.06</c:v>
                </c:pt>
                <c:pt idx="143">
                  <c:v>1.96</c:v>
                </c:pt>
                <c:pt idx="144">
                  <c:v>2.16</c:v>
                </c:pt>
                <c:pt idx="145">
                  <c:v>2.16</c:v>
                </c:pt>
                <c:pt idx="146">
                  <c:v>2.41</c:v>
                </c:pt>
                <c:pt idx="147">
                  <c:v>2.52</c:v>
                </c:pt>
                <c:pt idx="148">
                  <c:v>2.64</c:v>
                </c:pt>
                <c:pt idx="149">
                  <c:v>2.6</c:v>
                </c:pt>
                <c:pt idx="150">
                  <c:v>2.82</c:v>
                </c:pt>
                <c:pt idx="151">
                  <c:v>3</c:v>
                </c:pt>
                <c:pt idx="152">
                  <c:v>3.51</c:v>
                </c:pt>
                <c:pt idx="153">
                  <c:v>3.9</c:v>
                </c:pt>
                <c:pt idx="154">
                  <c:v>3.84</c:v>
                </c:pt>
                <c:pt idx="155">
                  <c:v>3.85</c:v>
                </c:pt>
                <c:pt idx="156">
                  <c:v>3.89</c:v>
                </c:pt>
                <c:pt idx="157">
                  <c:v>3.87</c:v>
                </c:pt>
                <c:pt idx="158">
                  <c:v>3.74</c:v>
                </c:pt>
                <c:pt idx="159">
                  <c:v>3.82</c:v>
                </c:pt>
                <c:pt idx="160">
                  <c:v>3.92</c:v>
                </c:pt>
                <c:pt idx="161">
                  <c:v>3.88</c:v>
                </c:pt>
                <c:pt idx="162">
                  <c:v>3.94</c:v>
                </c:pt>
                <c:pt idx="163">
                  <c:v>3.91</c:v>
                </c:pt>
                <c:pt idx="164">
                  <c:v>3.81</c:v>
                </c:pt>
                <c:pt idx="165">
                  <c:v>4.17</c:v>
                </c:pt>
                <c:pt idx="166">
                  <c:v>4.17</c:v>
                </c:pt>
                <c:pt idx="167">
                  <c:v>4.3899999999999997</c:v>
                </c:pt>
                <c:pt idx="168">
                  <c:v>4.22</c:v>
                </c:pt>
                <c:pt idx="169">
                  <c:v>4.22</c:v>
                </c:pt>
                <c:pt idx="170">
                  <c:v>4.25</c:v>
                </c:pt>
                <c:pt idx="171">
                  <c:v>4.3</c:v>
                </c:pt>
                <c:pt idx="172">
                  <c:v>4.6500000000000004</c:v>
                </c:pt>
                <c:pt idx="173">
                  <c:v>4.84</c:v>
                </c:pt>
                <c:pt idx="174">
                  <c:v>4.5999999999999996</c:v>
                </c:pt>
                <c:pt idx="175">
                  <c:v>5.52</c:v>
                </c:pt>
                <c:pt idx="176">
                  <c:v>5.2</c:v>
                </c:pt>
                <c:pt idx="177">
                  <c:v>4.97</c:v>
                </c:pt>
                <c:pt idx="178">
                  <c:v>4.3</c:v>
                </c:pt>
                <c:pt idx="179">
                  <c:v>3.79</c:v>
                </c:pt>
                <c:pt idx="180">
                  <c:v>3.44</c:v>
                </c:pt>
                <c:pt idx="181">
                  <c:v>3.38</c:v>
                </c:pt>
                <c:pt idx="182">
                  <c:v>3.71</c:v>
                </c:pt>
                <c:pt idx="183">
                  <c:v>3.91</c:v>
                </c:pt>
                <c:pt idx="184">
                  <c:v>3.86</c:v>
                </c:pt>
                <c:pt idx="185">
                  <c:v>3.89</c:v>
                </c:pt>
                <c:pt idx="186">
                  <c:v>3.67</c:v>
                </c:pt>
                <c:pt idx="187">
                  <c:v>4.16</c:v>
                </c:pt>
                <c:pt idx="188">
                  <c:v>4.29</c:v>
                </c:pt>
                <c:pt idx="189">
                  <c:v>4.6399999999999997</c:v>
                </c:pt>
                <c:pt idx="190">
                  <c:v>4.12</c:v>
                </c:pt>
                <c:pt idx="191">
                  <c:v>2.9</c:v>
                </c:pt>
                <c:pt idx="192">
                  <c:v>5.87</c:v>
                </c:pt>
                <c:pt idx="193">
                  <c:v>6.46</c:v>
                </c:pt>
                <c:pt idx="194">
                  <c:v>7.29</c:v>
                </c:pt>
                <c:pt idx="195">
                  <c:v>5.51</c:v>
                </c:pt>
                <c:pt idx="196">
                  <c:v>3.4</c:v>
                </c:pt>
                <c:pt idx="197">
                  <c:v>3.57</c:v>
                </c:pt>
                <c:pt idx="198">
                  <c:v>4.4800000000000004</c:v>
                </c:pt>
                <c:pt idx="199">
                  <c:v>1.92</c:v>
                </c:pt>
                <c:pt idx="200">
                  <c:v>1.6793</c:v>
                </c:pt>
                <c:pt idx="201">
                  <c:v>1.65</c:v>
                </c:pt>
                <c:pt idx="202">
                  <c:v>1.64</c:v>
                </c:pt>
                <c:pt idx="203">
                  <c:v>1.6850000000000001</c:v>
                </c:pt>
                <c:pt idx="204">
                  <c:v>1.58</c:v>
                </c:pt>
                <c:pt idx="205">
                  <c:v>1.71</c:v>
                </c:pt>
                <c:pt idx="206">
                  <c:v>1.68</c:v>
                </c:pt>
                <c:pt idx="207">
                  <c:v>1.74</c:v>
                </c:pt>
                <c:pt idx="208">
                  <c:v>1.75</c:v>
                </c:pt>
                <c:pt idx="209">
                  <c:v>1.89</c:v>
                </c:pt>
                <c:pt idx="210">
                  <c:v>2.0299999999999998</c:v>
                </c:pt>
                <c:pt idx="211">
                  <c:v>1.79</c:v>
                </c:pt>
                <c:pt idx="212">
                  <c:v>2.6</c:v>
                </c:pt>
                <c:pt idx="213">
                  <c:v>2.95</c:v>
                </c:pt>
                <c:pt idx="214">
                  <c:v>7.2</c:v>
                </c:pt>
                <c:pt idx="215">
                  <c:v>7.2</c:v>
                </c:pt>
                <c:pt idx="216">
                  <c:v>7</c:v>
                </c:pt>
                <c:pt idx="217">
                  <c:v>7.1</c:v>
                </c:pt>
                <c:pt idx="218">
                  <c:v>7.2</c:v>
                </c:pt>
                <c:pt idx="219">
                  <c:v>7.1</c:v>
                </c:pt>
                <c:pt idx="220">
                  <c:v>7.35</c:v>
                </c:pt>
                <c:pt idx="221">
                  <c:v>7</c:v>
                </c:pt>
                <c:pt idx="222">
                  <c:v>3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8</c:v>
                </c:pt>
                <c:pt idx="229">
                  <c:v>8</c:v>
                </c:pt>
                <c:pt idx="230">
                  <c:v>8</c:v>
                </c:pt>
                <c:pt idx="231">
                  <c:v>8</c:v>
                </c:pt>
                <c:pt idx="232">
                  <c:v>9.5</c:v>
                </c:pt>
                <c:pt idx="233">
                  <c:v>8.0500000000000007</c:v>
                </c:pt>
                <c:pt idx="234">
                  <c:v>8</c:v>
                </c:pt>
                <c:pt idx="235">
                  <c:v>8.1999999999999993</c:v>
                </c:pt>
                <c:pt idx="236">
                  <c:v>8.1199999999999992</c:v>
                </c:pt>
                <c:pt idx="237">
                  <c:v>8.1</c:v>
                </c:pt>
                <c:pt idx="238">
                  <c:v>8.1</c:v>
                </c:pt>
                <c:pt idx="239">
                  <c:v>8.08</c:v>
                </c:pt>
                <c:pt idx="240">
                  <c:v>8.2799999999999994</c:v>
                </c:pt>
                <c:pt idx="241">
                  <c:v>8.1</c:v>
                </c:pt>
                <c:pt idx="242">
                  <c:v>8</c:v>
                </c:pt>
                <c:pt idx="243">
                  <c:v>8.5</c:v>
                </c:pt>
                <c:pt idx="244">
                  <c:v>8.5</c:v>
                </c:pt>
                <c:pt idx="245">
                  <c:v>8.01</c:v>
                </c:pt>
                <c:pt idx="246">
                  <c:v>8.8800000000000008</c:v>
                </c:pt>
                <c:pt idx="247">
                  <c:v>7.29</c:v>
                </c:pt>
                <c:pt idx="248">
                  <c:v>6.4</c:v>
                </c:pt>
                <c:pt idx="249">
                  <c:v>4.01</c:v>
                </c:pt>
                <c:pt idx="250">
                  <c:v>6.6</c:v>
                </c:pt>
                <c:pt idx="251">
                  <c:v>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FF-004C-8DA6-6F85E672DD3C}"/>
            </c:ext>
          </c:extLst>
        </c:ser>
        <c:ser>
          <c:idx val="1"/>
          <c:order val="1"/>
          <c:tx>
            <c:strRef>
              <c:f>Kenechukwu!$N$1:$N$2</c:f>
              <c:strCache>
                <c:ptCount val="2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Kenechukwu!$B$3:$B$256</c:f>
              <c:strCache>
                <c:ptCount val="252"/>
                <c:pt idx="0">
                  <c:v>Date</c:v>
                </c:pt>
                <c:pt idx="1">
                  <c:v>03/18/2026</c:v>
                </c:pt>
                <c:pt idx="2">
                  <c:v>03/17/2026</c:v>
                </c:pt>
                <c:pt idx="3">
                  <c:v>03/16/2026</c:v>
                </c:pt>
                <c:pt idx="4">
                  <c:v>03/13/2026</c:v>
                </c:pt>
                <c:pt idx="5">
                  <c:v>03/12/2026</c:v>
                </c:pt>
                <c:pt idx="6">
                  <c:v>03/11/2026</c:v>
                </c:pt>
                <c:pt idx="7">
                  <c:v>03/10/2026</c:v>
                </c:pt>
                <c:pt idx="8">
                  <c:v>03/09/2026</c:v>
                </c:pt>
                <c:pt idx="9">
                  <c:v>03/06/2026</c:v>
                </c:pt>
                <c:pt idx="10">
                  <c:v>03/05/2026</c:v>
                </c:pt>
                <c:pt idx="11">
                  <c:v>03/04/2026</c:v>
                </c:pt>
                <c:pt idx="12">
                  <c:v>03/03/2026</c:v>
                </c:pt>
                <c:pt idx="13">
                  <c:v>03/02/2026</c:v>
                </c:pt>
                <c:pt idx="14">
                  <c:v>02/27/2026</c:v>
                </c:pt>
                <c:pt idx="15">
                  <c:v>02/26/2026</c:v>
                </c:pt>
                <c:pt idx="16">
                  <c:v>02/25/2026</c:v>
                </c:pt>
                <c:pt idx="17">
                  <c:v>02/24/2026</c:v>
                </c:pt>
                <c:pt idx="18">
                  <c:v>02/23/2026</c:v>
                </c:pt>
                <c:pt idx="19">
                  <c:v>02/20/2026</c:v>
                </c:pt>
                <c:pt idx="20">
                  <c:v>02/19/2026</c:v>
                </c:pt>
                <c:pt idx="21">
                  <c:v>02/18/2026</c:v>
                </c:pt>
                <c:pt idx="22">
                  <c:v>02/17/2026</c:v>
                </c:pt>
                <c:pt idx="23">
                  <c:v>02/13/2026</c:v>
                </c:pt>
                <c:pt idx="24">
                  <c:v>02/12/2026</c:v>
                </c:pt>
                <c:pt idx="25">
                  <c:v>02/11/2026</c:v>
                </c:pt>
                <c:pt idx="26">
                  <c:v>02/10/2026</c:v>
                </c:pt>
                <c:pt idx="27">
                  <c:v>02/09/2026</c:v>
                </c:pt>
                <c:pt idx="28">
                  <c:v>02/06/2026</c:v>
                </c:pt>
                <c:pt idx="29">
                  <c:v>02/05/2026</c:v>
                </c:pt>
                <c:pt idx="30">
                  <c:v>02/04/2026</c:v>
                </c:pt>
                <c:pt idx="31">
                  <c:v>02/03/2026</c:v>
                </c:pt>
                <c:pt idx="32">
                  <c:v>02/02/2026</c:v>
                </c:pt>
                <c:pt idx="33">
                  <c:v>01/30/2026</c:v>
                </c:pt>
                <c:pt idx="34">
                  <c:v>01/29/2026</c:v>
                </c:pt>
                <c:pt idx="35">
                  <c:v>01/28/2026</c:v>
                </c:pt>
                <c:pt idx="36">
                  <c:v>01/27/2026</c:v>
                </c:pt>
                <c:pt idx="37">
                  <c:v>01/26/2026</c:v>
                </c:pt>
                <c:pt idx="38">
                  <c:v>01/23/2026</c:v>
                </c:pt>
                <c:pt idx="39">
                  <c:v>01/22/2026</c:v>
                </c:pt>
                <c:pt idx="40">
                  <c:v>01/21/2026</c:v>
                </c:pt>
                <c:pt idx="41">
                  <c:v>01/20/2026</c:v>
                </c:pt>
                <c:pt idx="42">
                  <c:v>01/16/2026</c:v>
                </c:pt>
                <c:pt idx="43">
                  <c:v>01/15/2026</c:v>
                </c:pt>
                <c:pt idx="44">
                  <c:v>01/14/2026</c:v>
                </c:pt>
                <c:pt idx="45">
                  <c:v>01/13/2026</c:v>
                </c:pt>
                <c:pt idx="46">
                  <c:v>01/12/2026</c:v>
                </c:pt>
                <c:pt idx="47">
                  <c:v>01/09/2026</c:v>
                </c:pt>
                <c:pt idx="48">
                  <c:v>01/08/2026</c:v>
                </c:pt>
                <c:pt idx="49">
                  <c:v>01/07/2026</c:v>
                </c:pt>
                <c:pt idx="50">
                  <c:v>01/06/2026</c:v>
                </c:pt>
                <c:pt idx="51">
                  <c:v>01/05/2026</c:v>
                </c:pt>
                <c:pt idx="52">
                  <c:v>01/02/2026</c:v>
                </c:pt>
                <c:pt idx="53">
                  <c:v>12/31/2025</c:v>
                </c:pt>
                <c:pt idx="54">
                  <c:v>12/30/2025</c:v>
                </c:pt>
                <c:pt idx="55">
                  <c:v>12/29/2025</c:v>
                </c:pt>
                <c:pt idx="56">
                  <c:v>12/26/2025</c:v>
                </c:pt>
                <c:pt idx="57">
                  <c:v>12/24/2025</c:v>
                </c:pt>
                <c:pt idx="58">
                  <c:v>12/23/2025</c:v>
                </c:pt>
                <c:pt idx="59">
                  <c:v>12/22/2025</c:v>
                </c:pt>
                <c:pt idx="60">
                  <c:v>12/19/2025</c:v>
                </c:pt>
                <c:pt idx="61">
                  <c:v>12/18/2025</c:v>
                </c:pt>
                <c:pt idx="62">
                  <c:v>12/17/2025</c:v>
                </c:pt>
                <c:pt idx="63">
                  <c:v>12/16/2025</c:v>
                </c:pt>
                <c:pt idx="64">
                  <c:v>12/15/2025</c:v>
                </c:pt>
                <c:pt idx="65">
                  <c:v>12/12/2025</c:v>
                </c:pt>
                <c:pt idx="66">
                  <c:v>12/11/2025</c:v>
                </c:pt>
                <c:pt idx="67">
                  <c:v>12/10/2025</c:v>
                </c:pt>
                <c:pt idx="68">
                  <c:v>12/09/2025</c:v>
                </c:pt>
                <c:pt idx="69">
                  <c:v>12/08/2025</c:v>
                </c:pt>
                <c:pt idx="70">
                  <c:v>12/05/2025</c:v>
                </c:pt>
                <c:pt idx="71">
                  <c:v>12/04/2025</c:v>
                </c:pt>
                <c:pt idx="72">
                  <c:v>12/03/2025</c:v>
                </c:pt>
                <c:pt idx="73">
                  <c:v>12/02/2025</c:v>
                </c:pt>
                <c:pt idx="74">
                  <c:v>12/01/2025</c:v>
                </c:pt>
                <c:pt idx="75">
                  <c:v>11/28/2025</c:v>
                </c:pt>
                <c:pt idx="76">
                  <c:v>11/26/2025</c:v>
                </c:pt>
                <c:pt idx="77">
                  <c:v>11/25/2025</c:v>
                </c:pt>
                <c:pt idx="78">
                  <c:v>11/24/2025</c:v>
                </c:pt>
                <c:pt idx="79">
                  <c:v>11/21/2025</c:v>
                </c:pt>
                <c:pt idx="80">
                  <c:v>11/20/2025</c:v>
                </c:pt>
                <c:pt idx="81">
                  <c:v>11/19/2025</c:v>
                </c:pt>
                <c:pt idx="82">
                  <c:v>11/18/2025</c:v>
                </c:pt>
                <c:pt idx="83">
                  <c:v>11/17/2025</c:v>
                </c:pt>
                <c:pt idx="84">
                  <c:v>11/14/2025</c:v>
                </c:pt>
                <c:pt idx="85">
                  <c:v>11/13/2025</c:v>
                </c:pt>
                <c:pt idx="86">
                  <c:v>11/12/2025</c:v>
                </c:pt>
                <c:pt idx="87">
                  <c:v>11/11/2025</c:v>
                </c:pt>
                <c:pt idx="88">
                  <c:v>11/10/2025</c:v>
                </c:pt>
                <c:pt idx="89">
                  <c:v>11/07/2025</c:v>
                </c:pt>
                <c:pt idx="90">
                  <c:v>11/06/2025</c:v>
                </c:pt>
                <c:pt idx="91">
                  <c:v>11/05/2025</c:v>
                </c:pt>
                <c:pt idx="92">
                  <c:v>11/04/2025</c:v>
                </c:pt>
                <c:pt idx="93">
                  <c:v>11/03/2025</c:v>
                </c:pt>
                <c:pt idx="94">
                  <c:v>10/31/2025</c:v>
                </c:pt>
                <c:pt idx="95">
                  <c:v>10/30/2025</c:v>
                </c:pt>
                <c:pt idx="96">
                  <c:v>10/29/2025</c:v>
                </c:pt>
                <c:pt idx="97">
                  <c:v>10/28/2025</c:v>
                </c:pt>
                <c:pt idx="98">
                  <c:v>10/27/2025</c:v>
                </c:pt>
                <c:pt idx="99">
                  <c:v>10/24/2025</c:v>
                </c:pt>
                <c:pt idx="100">
                  <c:v>10/23/2025</c:v>
                </c:pt>
                <c:pt idx="101">
                  <c:v>10/22/2025</c:v>
                </c:pt>
                <c:pt idx="102">
                  <c:v>10/21/2025</c:v>
                </c:pt>
                <c:pt idx="103">
                  <c:v>10/20/2025</c:v>
                </c:pt>
                <c:pt idx="104">
                  <c:v>10/17/2025</c:v>
                </c:pt>
                <c:pt idx="105">
                  <c:v>10/16/2025</c:v>
                </c:pt>
                <c:pt idx="106">
                  <c:v>10/15/2025</c:v>
                </c:pt>
                <c:pt idx="107">
                  <c:v>10/14/2025</c:v>
                </c:pt>
                <c:pt idx="108">
                  <c:v>10/13/2025</c:v>
                </c:pt>
                <c:pt idx="109">
                  <c:v>10/10/2025</c:v>
                </c:pt>
                <c:pt idx="110">
                  <c:v>10/09/2025</c:v>
                </c:pt>
                <c:pt idx="111">
                  <c:v>10/08/2025</c:v>
                </c:pt>
                <c:pt idx="112">
                  <c:v>10/07/2025</c:v>
                </c:pt>
                <c:pt idx="113">
                  <c:v>10/06/2025</c:v>
                </c:pt>
                <c:pt idx="114">
                  <c:v>10/03/2025</c:v>
                </c:pt>
                <c:pt idx="115">
                  <c:v>10/02/2025</c:v>
                </c:pt>
                <c:pt idx="116">
                  <c:v>10/01/2025</c:v>
                </c:pt>
                <c:pt idx="117">
                  <c:v>09/30/2025</c:v>
                </c:pt>
                <c:pt idx="118">
                  <c:v>09/29/2025</c:v>
                </c:pt>
                <c:pt idx="119">
                  <c:v>09/26/2025</c:v>
                </c:pt>
                <c:pt idx="120">
                  <c:v>09/25/2025</c:v>
                </c:pt>
                <c:pt idx="121">
                  <c:v>09/24/2025</c:v>
                </c:pt>
                <c:pt idx="122">
                  <c:v>09/23/2025</c:v>
                </c:pt>
                <c:pt idx="123">
                  <c:v>09/22/2025</c:v>
                </c:pt>
                <c:pt idx="124">
                  <c:v>09/19/2025</c:v>
                </c:pt>
                <c:pt idx="125">
                  <c:v>09/18/2025</c:v>
                </c:pt>
                <c:pt idx="126">
                  <c:v>09/17/2025</c:v>
                </c:pt>
                <c:pt idx="127">
                  <c:v>09/16/2025</c:v>
                </c:pt>
                <c:pt idx="128">
                  <c:v>09/15/2025</c:v>
                </c:pt>
                <c:pt idx="129">
                  <c:v>09/12/2025</c:v>
                </c:pt>
                <c:pt idx="130">
                  <c:v>09/11/2025</c:v>
                </c:pt>
                <c:pt idx="131">
                  <c:v>09/10/2025</c:v>
                </c:pt>
                <c:pt idx="132">
                  <c:v>09/09/2025</c:v>
                </c:pt>
                <c:pt idx="133">
                  <c:v>09/08/2025</c:v>
                </c:pt>
                <c:pt idx="134">
                  <c:v>09/05/2025</c:v>
                </c:pt>
                <c:pt idx="135">
                  <c:v>09/04/2025</c:v>
                </c:pt>
                <c:pt idx="136">
                  <c:v>09/03/2025</c:v>
                </c:pt>
                <c:pt idx="137">
                  <c:v>09/02/2025</c:v>
                </c:pt>
                <c:pt idx="138">
                  <c:v>08/29/2025</c:v>
                </c:pt>
                <c:pt idx="139">
                  <c:v>08/28/2025</c:v>
                </c:pt>
                <c:pt idx="140">
                  <c:v>08/27/2025</c:v>
                </c:pt>
                <c:pt idx="141">
                  <c:v>08/26/2025</c:v>
                </c:pt>
                <c:pt idx="142">
                  <c:v>08/25/2025</c:v>
                </c:pt>
                <c:pt idx="143">
                  <c:v>08/22/2025</c:v>
                </c:pt>
                <c:pt idx="144">
                  <c:v>08/21/2025</c:v>
                </c:pt>
                <c:pt idx="145">
                  <c:v>08/20/2025</c:v>
                </c:pt>
                <c:pt idx="146">
                  <c:v>08/19/2025</c:v>
                </c:pt>
                <c:pt idx="147">
                  <c:v>08/18/2025</c:v>
                </c:pt>
                <c:pt idx="148">
                  <c:v>08/15/2025</c:v>
                </c:pt>
                <c:pt idx="149">
                  <c:v>08/14/2025</c:v>
                </c:pt>
                <c:pt idx="150">
                  <c:v>08/13/2025</c:v>
                </c:pt>
                <c:pt idx="151">
                  <c:v>08/12/2025</c:v>
                </c:pt>
                <c:pt idx="152">
                  <c:v>08/11/2025</c:v>
                </c:pt>
                <c:pt idx="153">
                  <c:v>08/08/2025</c:v>
                </c:pt>
                <c:pt idx="154">
                  <c:v>08/07/2025</c:v>
                </c:pt>
                <c:pt idx="155">
                  <c:v>08/06/2025</c:v>
                </c:pt>
                <c:pt idx="156">
                  <c:v>08/05/2025</c:v>
                </c:pt>
                <c:pt idx="157">
                  <c:v>08/04/2025</c:v>
                </c:pt>
                <c:pt idx="158">
                  <c:v>08/01/2025</c:v>
                </c:pt>
                <c:pt idx="159">
                  <c:v>07/31/2025</c:v>
                </c:pt>
                <c:pt idx="160">
                  <c:v>07/30/2025</c:v>
                </c:pt>
                <c:pt idx="161">
                  <c:v>07/29/2025</c:v>
                </c:pt>
                <c:pt idx="162">
                  <c:v>07/28/2025</c:v>
                </c:pt>
                <c:pt idx="163">
                  <c:v>07/25/2025</c:v>
                </c:pt>
                <c:pt idx="164">
                  <c:v>07/24/2025</c:v>
                </c:pt>
                <c:pt idx="165">
                  <c:v>07/23/2025</c:v>
                </c:pt>
                <c:pt idx="166">
                  <c:v>07/22/2025</c:v>
                </c:pt>
                <c:pt idx="167">
                  <c:v>07/21/2025</c:v>
                </c:pt>
                <c:pt idx="168">
                  <c:v>07/18/2025</c:v>
                </c:pt>
                <c:pt idx="169">
                  <c:v>07/17/2025</c:v>
                </c:pt>
                <c:pt idx="170">
                  <c:v>07/16/2025</c:v>
                </c:pt>
                <c:pt idx="171">
                  <c:v>07/15/2025</c:v>
                </c:pt>
                <c:pt idx="172">
                  <c:v>07/14/2025</c:v>
                </c:pt>
                <c:pt idx="173">
                  <c:v>07/11/2025</c:v>
                </c:pt>
                <c:pt idx="174">
                  <c:v>07/10/2025</c:v>
                </c:pt>
                <c:pt idx="175">
                  <c:v>07/09/2025</c:v>
                </c:pt>
                <c:pt idx="176">
                  <c:v>07/08/2025</c:v>
                </c:pt>
                <c:pt idx="177">
                  <c:v>07/07/2025</c:v>
                </c:pt>
                <c:pt idx="178">
                  <c:v>07/03/2025</c:v>
                </c:pt>
                <c:pt idx="179">
                  <c:v>07/02/2025</c:v>
                </c:pt>
                <c:pt idx="180">
                  <c:v>07/01/2025</c:v>
                </c:pt>
                <c:pt idx="181">
                  <c:v>06/30/2025</c:v>
                </c:pt>
                <c:pt idx="182">
                  <c:v>06/27/2025</c:v>
                </c:pt>
                <c:pt idx="183">
                  <c:v>06/26/2025</c:v>
                </c:pt>
                <c:pt idx="184">
                  <c:v>06/25/2025</c:v>
                </c:pt>
                <c:pt idx="185">
                  <c:v>06/24/2025</c:v>
                </c:pt>
                <c:pt idx="186">
                  <c:v>06/23/2025</c:v>
                </c:pt>
                <c:pt idx="187">
                  <c:v>06/20/2025</c:v>
                </c:pt>
                <c:pt idx="188">
                  <c:v>06/18/2025</c:v>
                </c:pt>
                <c:pt idx="189">
                  <c:v>06/17/2025</c:v>
                </c:pt>
                <c:pt idx="190">
                  <c:v>06/16/2025</c:v>
                </c:pt>
                <c:pt idx="191">
                  <c:v>06/13/2025</c:v>
                </c:pt>
                <c:pt idx="192">
                  <c:v>06/12/2025</c:v>
                </c:pt>
                <c:pt idx="193">
                  <c:v>06/11/2025</c:v>
                </c:pt>
                <c:pt idx="194">
                  <c:v>06/10/2025</c:v>
                </c:pt>
                <c:pt idx="195">
                  <c:v>06/09/2025</c:v>
                </c:pt>
                <c:pt idx="196">
                  <c:v>06/06/2025</c:v>
                </c:pt>
                <c:pt idx="197">
                  <c:v>06/05/2025</c:v>
                </c:pt>
                <c:pt idx="198">
                  <c:v>06/04/2025</c:v>
                </c:pt>
                <c:pt idx="199">
                  <c:v>06/03/2025</c:v>
                </c:pt>
                <c:pt idx="200">
                  <c:v>06/02/2025</c:v>
                </c:pt>
                <c:pt idx="201">
                  <c:v>05/30/2025</c:v>
                </c:pt>
                <c:pt idx="202">
                  <c:v>05/29/2025</c:v>
                </c:pt>
                <c:pt idx="203">
                  <c:v>05/28/2025</c:v>
                </c:pt>
                <c:pt idx="204">
                  <c:v>05/27/2025</c:v>
                </c:pt>
                <c:pt idx="205">
                  <c:v>05/23/2025</c:v>
                </c:pt>
                <c:pt idx="206">
                  <c:v>05/22/2025</c:v>
                </c:pt>
                <c:pt idx="207">
                  <c:v>05/21/2025</c:v>
                </c:pt>
                <c:pt idx="208">
                  <c:v>05/20/2025</c:v>
                </c:pt>
                <c:pt idx="209">
                  <c:v>05/19/2025</c:v>
                </c:pt>
                <c:pt idx="210">
                  <c:v>05/16/2025</c:v>
                </c:pt>
                <c:pt idx="211">
                  <c:v>05/15/2025</c:v>
                </c:pt>
                <c:pt idx="212">
                  <c:v>05/14/2025</c:v>
                </c:pt>
                <c:pt idx="213">
                  <c:v>05/13/2025</c:v>
                </c:pt>
                <c:pt idx="214">
                  <c:v>05/12/2025</c:v>
                </c:pt>
                <c:pt idx="215">
                  <c:v>05/09/2025</c:v>
                </c:pt>
                <c:pt idx="216">
                  <c:v>05/08/2025</c:v>
                </c:pt>
                <c:pt idx="217">
                  <c:v>05/07/2025</c:v>
                </c:pt>
                <c:pt idx="218">
                  <c:v>05/06/2025</c:v>
                </c:pt>
                <c:pt idx="219">
                  <c:v>05/05/2025</c:v>
                </c:pt>
                <c:pt idx="220">
                  <c:v>05/02/2025</c:v>
                </c:pt>
                <c:pt idx="221">
                  <c:v>05/01/2025</c:v>
                </c:pt>
                <c:pt idx="222">
                  <c:v>04/30/2025</c:v>
                </c:pt>
                <c:pt idx="223">
                  <c:v>04/29/2025</c:v>
                </c:pt>
                <c:pt idx="224">
                  <c:v>04/28/2025</c:v>
                </c:pt>
                <c:pt idx="225">
                  <c:v>04/25/2025</c:v>
                </c:pt>
                <c:pt idx="226">
                  <c:v>04/24/2025</c:v>
                </c:pt>
                <c:pt idx="227">
                  <c:v>04/23/2025</c:v>
                </c:pt>
                <c:pt idx="228">
                  <c:v>04/22/2025</c:v>
                </c:pt>
                <c:pt idx="229">
                  <c:v>04/21/2025</c:v>
                </c:pt>
                <c:pt idx="230">
                  <c:v>04/17/2025</c:v>
                </c:pt>
                <c:pt idx="231">
                  <c:v>04/16/2025</c:v>
                </c:pt>
                <c:pt idx="232">
                  <c:v>04/15/2025</c:v>
                </c:pt>
                <c:pt idx="233">
                  <c:v>04/14/2025</c:v>
                </c:pt>
                <c:pt idx="234">
                  <c:v>04/11/2025</c:v>
                </c:pt>
                <c:pt idx="235">
                  <c:v>04/10/2025</c:v>
                </c:pt>
                <c:pt idx="236">
                  <c:v>04/09/2025</c:v>
                </c:pt>
                <c:pt idx="237">
                  <c:v>04/08/2025</c:v>
                </c:pt>
                <c:pt idx="238">
                  <c:v>04/07/2025</c:v>
                </c:pt>
                <c:pt idx="239">
                  <c:v>04/04/2025</c:v>
                </c:pt>
                <c:pt idx="240">
                  <c:v>04/03/2025</c:v>
                </c:pt>
                <c:pt idx="241">
                  <c:v>04/02/2025</c:v>
                </c:pt>
                <c:pt idx="242">
                  <c:v>04/01/2025</c:v>
                </c:pt>
                <c:pt idx="243">
                  <c:v>03/31/2025</c:v>
                </c:pt>
                <c:pt idx="244">
                  <c:v>03/28/2025</c:v>
                </c:pt>
                <c:pt idx="245">
                  <c:v>03/27/2025</c:v>
                </c:pt>
                <c:pt idx="246">
                  <c:v>03/26/2025</c:v>
                </c:pt>
                <c:pt idx="247">
                  <c:v>03/25/2025</c:v>
                </c:pt>
                <c:pt idx="248">
                  <c:v>03/24/2025</c:v>
                </c:pt>
                <c:pt idx="249">
                  <c:v>03/21/2025</c:v>
                </c:pt>
                <c:pt idx="250">
                  <c:v>03/20/2025</c:v>
                </c:pt>
                <c:pt idx="251">
                  <c:v>03/19/2025</c:v>
                </c:pt>
              </c:strCache>
            </c:strRef>
          </c:cat>
          <c:val>
            <c:numRef>
              <c:f>Kenechukwu!$N$3:$N$256</c:f>
              <c:numCache>
                <c:formatCode>General</c:formatCode>
                <c:ptCount val="254"/>
                <c:pt idx="0">
                  <c:v>0</c:v>
                </c:pt>
                <c:pt idx="1">
                  <c:v>0.46209544838999672</c:v>
                </c:pt>
                <c:pt idx="2">
                  <c:v>0.3575444609313963</c:v>
                </c:pt>
                <c:pt idx="3">
                  <c:v>0.43835638504108887</c:v>
                </c:pt>
                <c:pt idx="4">
                  <c:v>0.50918573467320416</c:v>
                </c:pt>
                <c:pt idx="5">
                  <c:v>0.52971038132149606</c:v>
                </c:pt>
                <c:pt idx="6">
                  <c:v>0.49615439275591372</c:v>
                </c:pt>
                <c:pt idx="7">
                  <c:v>0.44453212296985051</c:v>
                </c:pt>
                <c:pt idx="8">
                  <c:v>0.47351035429240318</c:v>
                </c:pt>
                <c:pt idx="9">
                  <c:v>0.46471605729656984</c:v>
                </c:pt>
                <c:pt idx="10">
                  <c:v>0.449807282679625</c:v>
                </c:pt>
                <c:pt idx="11">
                  <c:v>0.44697738920236268</c:v>
                </c:pt>
                <c:pt idx="12">
                  <c:v>0.44330930310011207</c:v>
                </c:pt>
                <c:pt idx="13">
                  <c:v>0.46721266561955116</c:v>
                </c:pt>
                <c:pt idx="14">
                  <c:v>0.45331095142298727</c:v>
                </c:pt>
                <c:pt idx="15">
                  <c:v>0.45219542206201374</c:v>
                </c:pt>
                <c:pt idx="16">
                  <c:v>0.47123156805782263</c:v>
                </c:pt>
                <c:pt idx="17">
                  <c:v>0.50073828085814731</c:v>
                </c:pt>
                <c:pt idx="18">
                  <c:v>0.41642815565626579</c:v>
                </c:pt>
                <c:pt idx="19">
                  <c:v>0.29766962605022579</c:v>
                </c:pt>
                <c:pt idx="20">
                  <c:v>0.30673116927289246</c:v>
                </c:pt>
                <c:pt idx="21">
                  <c:v>0.33298268861416808</c:v>
                </c:pt>
                <c:pt idx="22">
                  <c:v>0.40483407482461864</c:v>
                </c:pt>
                <c:pt idx="23">
                  <c:v>0.46248263657034988</c:v>
                </c:pt>
                <c:pt idx="24">
                  <c:v>0.44397491754495905</c:v>
                </c:pt>
                <c:pt idx="25">
                  <c:v>0.42349554514804733</c:v>
                </c:pt>
                <c:pt idx="26">
                  <c:v>0.47188015925641774</c:v>
                </c:pt>
                <c:pt idx="27">
                  <c:v>0.36135076156968743</c:v>
                </c:pt>
                <c:pt idx="28">
                  <c:v>0.36243777094460566</c:v>
                </c:pt>
                <c:pt idx="29">
                  <c:v>0.28968890929042213</c:v>
                </c:pt>
                <c:pt idx="30">
                  <c:v>0.35496389115069454</c:v>
                </c:pt>
                <c:pt idx="31">
                  <c:v>0.25963689788618227</c:v>
                </c:pt>
                <c:pt idx="32">
                  <c:v>0.2421371746117989</c:v>
                </c:pt>
                <c:pt idx="33">
                  <c:v>0.21718004776606428</c:v>
                </c:pt>
                <c:pt idx="34">
                  <c:v>0.1999203192768983</c:v>
                </c:pt>
                <c:pt idx="35">
                  <c:v>0.22070356349451256</c:v>
                </c:pt>
                <c:pt idx="36">
                  <c:v>0.17988466741769873</c:v>
                </c:pt>
                <c:pt idx="37">
                  <c:v>0.14847509727606223</c:v>
                </c:pt>
                <c:pt idx="38">
                  <c:v>0.16727261686137834</c:v>
                </c:pt>
                <c:pt idx="39">
                  <c:v>0.14584828374077094</c:v>
                </c:pt>
                <c:pt idx="40">
                  <c:v>0.1320517357579932</c:v>
                </c:pt>
                <c:pt idx="41">
                  <c:v>0.11257839397469678</c:v>
                </c:pt>
                <c:pt idx="42">
                  <c:v>0.13251312546161992</c:v>
                </c:pt>
                <c:pt idx="43">
                  <c:v>0.1708016267335612</c:v>
                </c:pt>
                <c:pt idx="44">
                  <c:v>0.13763398833487631</c:v>
                </c:pt>
                <c:pt idx="45">
                  <c:v>0.16283860541264189</c:v>
                </c:pt>
                <c:pt idx="46">
                  <c:v>0.14968517279858717</c:v>
                </c:pt>
                <c:pt idx="47">
                  <c:v>0.12621412257142348</c:v>
                </c:pt>
                <c:pt idx="48">
                  <c:v>0.12210024708601246</c:v>
                </c:pt>
                <c:pt idx="49">
                  <c:v>0.13088001130779356</c:v>
                </c:pt>
                <c:pt idx="50">
                  <c:v>0.10830350880901463</c:v>
                </c:pt>
                <c:pt idx="51">
                  <c:v>0.112432627212587</c:v>
                </c:pt>
                <c:pt idx="52">
                  <c:v>0.11968418012316126</c:v>
                </c:pt>
                <c:pt idx="53">
                  <c:v>0.1172906797888662</c:v>
                </c:pt>
                <c:pt idx="54">
                  <c:v>0.10523548573099066</c:v>
                </c:pt>
                <c:pt idx="55">
                  <c:v>9.9158193529006747E-2</c:v>
                </c:pt>
                <c:pt idx="56">
                  <c:v>8.073907534148661E-2</c:v>
                </c:pt>
                <c:pt idx="57">
                  <c:v>8.8132816800734731E-2</c:v>
                </c:pt>
                <c:pt idx="58">
                  <c:v>9.7378267144967459E-2</c:v>
                </c:pt>
                <c:pt idx="59">
                  <c:v>0.10211143429205249</c:v>
                </c:pt>
                <c:pt idx="60">
                  <c:v>0.10260153539592602</c:v>
                </c:pt>
                <c:pt idx="61">
                  <c:v>0.13198951437462103</c:v>
                </c:pt>
                <c:pt idx="62">
                  <c:v>0.15936325309223676</c:v>
                </c:pt>
                <c:pt idx="63">
                  <c:v>0.21618739961062416</c:v>
                </c:pt>
                <c:pt idx="64">
                  <c:v>0.26694794150186135</c:v>
                </c:pt>
                <c:pt idx="65">
                  <c:v>0.29852419532937585</c:v>
                </c:pt>
                <c:pt idx="66">
                  <c:v>0.31538592506615426</c:v>
                </c:pt>
                <c:pt idx="67">
                  <c:v>0.34853652465831109</c:v>
                </c:pt>
                <c:pt idx="68">
                  <c:v>0.26915249619802861</c:v>
                </c:pt>
                <c:pt idx="69">
                  <c:v>0.25389654733684869</c:v>
                </c:pt>
                <c:pt idx="70">
                  <c:v>0.3097649830071485</c:v>
                </c:pt>
                <c:pt idx="71">
                  <c:v>0.3390143954213618</c:v>
                </c:pt>
                <c:pt idx="72">
                  <c:v>0.36150719669910802</c:v>
                </c:pt>
                <c:pt idx="73">
                  <c:v>0.33756087753550656</c:v>
                </c:pt>
                <c:pt idx="74">
                  <c:v>0.35236057223493916</c:v>
                </c:pt>
                <c:pt idx="75">
                  <c:v>0.39930594376268447</c:v>
                </c:pt>
                <c:pt idx="76">
                  <c:v>0.50703540593302243</c:v>
                </c:pt>
                <c:pt idx="77">
                  <c:v>0.61647243496047932</c:v>
                </c:pt>
                <c:pt idx="78">
                  <c:v>0.62045222751155227</c:v>
                </c:pt>
                <c:pt idx="79">
                  <c:v>0.54813624269402617</c:v>
                </c:pt>
                <c:pt idx="80">
                  <c:v>0.67531054963568016</c:v>
                </c:pt>
                <c:pt idx="81">
                  <c:v>0.83540255340242076</c:v>
                </c:pt>
                <c:pt idx="82">
                  <c:v>1.031376795385327</c:v>
                </c:pt>
                <c:pt idx="83">
                  <c:v>0.96636105608500378</c:v>
                </c:pt>
                <c:pt idx="84">
                  <c:v>0.95994765161242046</c:v>
                </c:pt>
                <c:pt idx="85">
                  <c:v>0.98408672118455698</c:v>
                </c:pt>
                <c:pt idx="86">
                  <c:v>1.1762322884062901</c:v>
                </c:pt>
                <c:pt idx="87">
                  <c:v>1.4288039320792563</c:v>
                </c:pt>
                <c:pt idx="88">
                  <c:v>1.4273300479827273</c:v>
                </c:pt>
                <c:pt idx="89">
                  <c:v>1.6909949579350303</c:v>
                </c:pt>
                <c:pt idx="90">
                  <c:v>1.4732269086701935</c:v>
                </c:pt>
                <c:pt idx="91">
                  <c:v>1.2543239049479962</c:v>
                </c:pt>
                <c:pt idx="92">
                  <c:v>1.2612451545946857</c:v>
                </c:pt>
                <c:pt idx="93">
                  <c:v>0.99602867073929369</c:v>
                </c:pt>
                <c:pt idx="94">
                  <c:v>0.88046984898069114</c:v>
                </c:pt>
                <c:pt idx="95">
                  <c:v>0.97070127551908036</c:v>
                </c:pt>
                <c:pt idx="96">
                  <c:v>0.88155810303261117</c:v>
                </c:pt>
                <c:pt idx="97">
                  <c:v>1.0159802381004428</c:v>
                </c:pt>
                <c:pt idx="98">
                  <c:v>1.0927828248717468</c:v>
                </c:pt>
                <c:pt idx="99">
                  <c:v>1.0587288472043299</c:v>
                </c:pt>
                <c:pt idx="100">
                  <c:v>0.82907347592306113</c:v>
                </c:pt>
                <c:pt idx="101">
                  <c:v>1.3520227587839029</c:v>
                </c:pt>
                <c:pt idx="102">
                  <c:v>1.3818624426526382</c:v>
                </c:pt>
                <c:pt idx="103">
                  <c:v>1.7598386256940206</c:v>
                </c:pt>
                <c:pt idx="104">
                  <c:v>2.415588484450153</c:v>
                </c:pt>
                <c:pt idx="105">
                  <c:v>2.8965076598160424</c:v>
                </c:pt>
                <c:pt idx="106">
                  <c:v>3.544517808003417</c:v>
                </c:pt>
                <c:pt idx="107">
                  <c:v>3.0935826210626982</c:v>
                </c:pt>
                <c:pt idx="108">
                  <c:v>3.426049926738481</c:v>
                </c:pt>
                <c:pt idx="109">
                  <c:v>3.507488536901727</c:v>
                </c:pt>
                <c:pt idx="110">
                  <c:v>3.6071283759887631</c:v>
                </c:pt>
                <c:pt idx="111">
                  <c:v>3.6166020210896477</c:v>
                </c:pt>
                <c:pt idx="112">
                  <c:v>3.6295692317882495</c:v>
                </c:pt>
                <c:pt idx="113">
                  <c:v>3.4785487403386681</c:v>
                </c:pt>
                <c:pt idx="114">
                  <c:v>4.9325578017079721</c:v>
                </c:pt>
                <c:pt idx="115">
                  <c:v>5.883292755525833</c:v>
                </c:pt>
                <c:pt idx="116">
                  <c:v>6.810282286975041</c:v>
                </c:pt>
                <c:pt idx="117">
                  <c:v>8.7935442296012951</c:v>
                </c:pt>
                <c:pt idx="118">
                  <c:v>7.8451687891269533</c:v>
                </c:pt>
                <c:pt idx="119">
                  <c:v>8.5627053397626067</c:v>
                </c:pt>
                <c:pt idx="120">
                  <c:v>6.8381629639454964</c:v>
                </c:pt>
                <c:pt idx="121">
                  <c:v>5.1259924824595231</c:v>
                </c:pt>
                <c:pt idx="122">
                  <c:v>6.4168477535464712</c:v>
                </c:pt>
                <c:pt idx="123">
                  <c:v>6.1333508827961332</c:v>
                </c:pt>
                <c:pt idx="124">
                  <c:v>5.0781977538633134</c:v>
                </c:pt>
                <c:pt idx="125">
                  <c:v>5.2265215337729174</c:v>
                </c:pt>
                <c:pt idx="126">
                  <c:v>5.1775161127925564</c:v>
                </c:pt>
                <c:pt idx="127">
                  <c:v>6.0045774620413592</c:v>
                </c:pt>
                <c:pt idx="128">
                  <c:v>5.1119065641940864</c:v>
                </c:pt>
                <c:pt idx="129">
                  <c:v>5.9937975464201125</c:v>
                </c:pt>
                <c:pt idx="130">
                  <c:v>6.4102431307793015</c:v>
                </c:pt>
                <c:pt idx="131">
                  <c:v>6.5559592092594245</c:v>
                </c:pt>
                <c:pt idx="132">
                  <c:v>6.4577754512301997</c:v>
                </c:pt>
                <c:pt idx="133">
                  <c:v>5.6387385975744184</c:v>
                </c:pt>
                <c:pt idx="134">
                  <c:v>6.8697293315165959</c:v>
                </c:pt>
                <c:pt idx="135">
                  <c:v>6.0767881802843675</c:v>
                </c:pt>
                <c:pt idx="136">
                  <c:v>5.5982592451533453</c:v>
                </c:pt>
                <c:pt idx="137">
                  <c:v>6.6248082036065039</c:v>
                </c:pt>
                <c:pt idx="138">
                  <c:v>5.5694905715225707</c:v>
                </c:pt>
                <c:pt idx="139">
                  <c:v>6.9396100791295465</c:v>
                </c:pt>
                <c:pt idx="140">
                  <c:v>6.1521366785537737</c:v>
                </c:pt>
                <c:pt idx="141">
                  <c:v>5.1062482694658256</c:v>
                </c:pt>
                <c:pt idx="142">
                  <c:v>4.4752163877592821</c:v>
                </c:pt>
                <c:pt idx="143">
                  <c:v>4.6051445917386085</c:v>
                </c:pt>
                <c:pt idx="144">
                  <c:v>4.739599054794982</c:v>
                </c:pt>
                <c:pt idx="145">
                  <c:v>4.5778060403312875</c:v>
                </c:pt>
                <c:pt idx="146">
                  <c:v>5.1632108571286857</c:v>
                </c:pt>
                <c:pt idx="147">
                  <c:v>4.7292307436321197</c:v>
                </c:pt>
                <c:pt idx="148">
                  <c:v>5.9974371543338343</c:v>
                </c:pt>
                <c:pt idx="149">
                  <c:v>5.8423443523809162</c:v>
                </c:pt>
                <c:pt idx="150">
                  <c:v>5.3977006564674932</c:v>
                </c:pt>
                <c:pt idx="151">
                  <c:v>6.2795830576831655</c:v>
                </c:pt>
                <c:pt idx="152">
                  <c:v>5.8873292976250138</c:v>
                </c:pt>
                <c:pt idx="153">
                  <c:v>5.2181803214332376</c:v>
                </c:pt>
                <c:pt idx="154">
                  <c:v>5.1241428142899696</c:v>
                </c:pt>
                <c:pt idx="155">
                  <c:v>5.2859524732575736</c:v>
                </c:pt>
                <c:pt idx="156">
                  <c:v>7.3368163923337359</c:v>
                </c:pt>
                <c:pt idx="157">
                  <c:v>7.0779039211358263</c:v>
                </c:pt>
                <c:pt idx="158">
                  <c:v>10.376695364143288</c:v>
                </c:pt>
                <c:pt idx="159">
                  <c:v>12.814863117581552</c:v>
                </c:pt>
                <c:pt idx="160">
                  <c:v>13.367751530665874</c:v>
                </c:pt>
                <c:pt idx="161">
                  <c:v>13.72620928588735</c:v>
                </c:pt>
                <c:pt idx="162">
                  <c:v>13.675897775103653</c:v>
                </c:pt>
                <c:pt idx="163">
                  <c:v>12.003278471561552</c:v>
                </c:pt>
                <c:pt idx="164">
                  <c:v>8.98565586186802</c:v>
                </c:pt>
                <c:pt idx="165">
                  <c:v>10.044548532034742</c:v>
                </c:pt>
                <c:pt idx="166">
                  <c:v>16.846342211775418</c:v>
                </c:pt>
                <c:pt idx="167">
                  <c:v>19.647996547358805</c:v>
                </c:pt>
                <c:pt idx="168">
                  <c:v>15.889323116355037</c:v>
                </c:pt>
                <c:pt idx="169">
                  <c:v>14.973339947182179</c:v>
                </c:pt>
                <c:pt idx="170">
                  <c:v>18.021038811656812</c:v>
                </c:pt>
                <c:pt idx="171">
                  <c:v>20.859316927996414</c:v>
                </c:pt>
                <c:pt idx="172">
                  <c:v>27.219325414376339</c:v>
                </c:pt>
                <c:pt idx="173">
                  <c:v>25.379180192070525</c:v>
                </c:pt>
                <c:pt idx="174">
                  <c:v>24.446200238411144</c:v>
                </c:pt>
                <c:pt idx="175">
                  <c:v>21.816156926914005</c:v>
                </c:pt>
                <c:pt idx="176">
                  <c:v>23.338791441536493</c:v>
                </c:pt>
                <c:pt idx="177">
                  <c:v>19.788206354798348</c:v>
                </c:pt>
                <c:pt idx="178">
                  <c:v>21.269739678642821</c:v>
                </c:pt>
                <c:pt idx="179">
                  <c:v>19.180998702593129</c:v>
                </c:pt>
                <c:pt idx="180">
                  <c:v>13.480460931200009</c:v>
                </c:pt>
                <c:pt idx="181">
                  <c:v>12.647553992076</c:v>
                </c:pt>
                <c:pt idx="182">
                  <c:v>15.494076580562279</c:v>
                </c:pt>
                <c:pt idx="183">
                  <c:v>16.498611960839618</c:v>
                </c:pt>
                <c:pt idx="184">
                  <c:v>17.821682024606655</c:v>
                </c:pt>
                <c:pt idx="185">
                  <c:v>15.837662340190965</c:v>
                </c:pt>
                <c:pt idx="186">
                  <c:v>14.34048042817308</c:v>
                </c:pt>
                <c:pt idx="187">
                  <c:v>13.502107496936178</c:v>
                </c:pt>
                <c:pt idx="188">
                  <c:v>11.953179192069928</c:v>
                </c:pt>
                <c:pt idx="189">
                  <c:v>13.783168648722452</c:v>
                </c:pt>
                <c:pt idx="190">
                  <c:v>11.064127739766105</c:v>
                </c:pt>
                <c:pt idx="191">
                  <c:v>12.883075275914635</c:v>
                </c:pt>
                <c:pt idx="192">
                  <c:v>15.089149544356362</c:v>
                </c:pt>
                <c:pt idx="193">
                  <c:v>13.396383525371313</c:v>
                </c:pt>
                <c:pt idx="194">
                  <c:v>13.132614268223481</c:v>
                </c:pt>
                <c:pt idx="195">
                  <c:v>13.51921723529016</c:v>
                </c:pt>
                <c:pt idx="196">
                  <c:v>11.370098542146998</c:v>
                </c:pt>
                <c:pt idx="197">
                  <c:v>7.2087664794427146</c:v>
                </c:pt>
                <c:pt idx="198">
                  <c:v>6.2076121617765088</c:v>
                </c:pt>
                <c:pt idx="199">
                  <c:v>6.11222308664839</c:v>
                </c:pt>
                <c:pt idx="200">
                  <c:v>7.1090283992543988</c:v>
                </c:pt>
                <c:pt idx="201">
                  <c:v>6.5698013734769809</c:v>
                </c:pt>
                <c:pt idx="202">
                  <c:v>6.8383552361413882</c:v>
                </c:pt>
                <c:pt idx="203">
                  <c:v>7.3031272310100803</c:v>
                </c:pt>
                <c:pt idx="204">
                  <c:v>8.497855312295707</c:v>
                </c:pt>
                <c:pt idx="205">
                  <c:v>7.9641523286639746</c:v>
                </c:pt>
                <c:pt idx="206">
                  <c:v>6.3870797067317193</c:v>
                </c:pt>
                <c:pt idx="207">
                  <c:v>5.7269706936847777</c:v>
                </c:pt>
                <c:pt idx="208">
                  <c:v>4.2997542196642122</c:v>
                </c:pt>
                <c:pt idx="209">
                  <c:v>5.2620363957361631</c:v>
                </c:pt>
                <c:pt idx="210">
                  <c:v>4.818127657099434</c:v>
                </c:pt>
                <c:pt idx="211">
                  <c:v>4.8758305255232965</c:v>
                </c:pt>
                <c:pt idx="212">
                  <c:v>4.2181365406053288</c:v>
                </c:pt>
                <c:pt idx="213">
                  <c:v>4.0736353428664973</c:v>
                </c:pt>
                <c:pt idx="214">
                  <c:v>3.7291928201267774</c:v>
                </c:pt>
                <c:pt idx="215">
                  <c:v>3.8522870557651827</c:v>
                </c:pt>
                <c:pt idx="216">
                  <c:v>3.5092296325910985</c:v>
                </c:pt>
                <c:pt idx="217">
                  <c:v>3.1690764290822195</c:v>
                </c:pt>
                <c:pt idx="218">
                  <c:v>3.0588219170138151</c:v>
                </c:pt>
                <c:pt idx="219">
                  <c:v>3.1010330629313518</c:v>
                </c:pt>
                <c:pt idx="220">
                  <c:v>3.1949736023734339</c:v>
                </c:pt>
                <c:pt idx="221">
                  <c:v>3.6230032937521415</c:v>
                </c:pt>
                <c:pt idx="222">
                  <c:v>4.1280293161832198</c:v>
                </c:pt>
                <c:pt idx="223">
                  <c:v>4.9662974445744981</c:v>
                </c:pt>
                <c:pt idx="224">
                  <c:v>4.5688269708405844</c:v>
                </c:pt>
                <c:pt idx="225">
                  <c:v>5.323618798080556</c:v>
                </c:pt>
                <c:pt idx="226">
                  <c:v>5.8208817308769962</c:v>
                </c:pt>
                <c:pt idx="227">
                  <c:v>6.3259664763272827</c:v>
                </c:pt>
                <c:pt idx="228">
                  <c:v>7.3589406910808455</c:v>
                </c:pt>
                <c:pt idx="229">
                  <c:v>8.7589938676435342</c:v>
                </c:pt>
                <c:pt idx="230">
                  <c:v>11.216555054634568</c:v>
                </c:pt>
                <c:pt idx="231">
                  <c:v>9.9951965985691427</c:v>
                </c:pt>
                <c:pt idx="232">
                  <c:v>10.225089643044804</c:v>
                </c:pt>
                <c:pt idx="233">
                  <c:v>8.9401968111444745</c:v>
                </c:pt>
                <c:pt idx="234">
                  <c:v>10.304670002848498</c:v>
                </c:pt>
                <c:pt idx="235">
                  <c:v>7.7819831163305926</c:v>
                </c:pt>
                <c:pt idx="236">
                  <c:v>7.6646017591664526</c:v>
                </c:pt>
                <c:pt idx="237">
                  <c:v>9.0095728220780185</c:v>
                </c:pt>
                <c:pt idx="238">
                  <c:v>8.0638579403374582</c:v>
                </c:pt>
                <c:pt idx="239">
                  <c:v>7.0467218492425081</c:v>
                </c:pt>
                <c:pt idx="240">
                  <c:v>5.1303741273258456</c:v>
                </c:pt>
                <c:pt idx="241">
                  <c:v>6.9093082335109219</c:v>
                </c:pt>
                <c:pt idx="242">
                  <c:v>6.3458440762441182</c:v>
                </c:pt>
                <c:pt idx="243">
                  <c:v>8.1028846870226214</c:v>
                </c:pt>
                <c:pt idx="244">
                  <c:v>7.4068667138119739</c:v>
                </c:pt>
                <c:pt idx="245">
                  <c:v>7.0846433273744411</c:v>
                </c:pt>
                <c:pt idx="246">
                  <c:v>7.1086620745066416</c:v>
                </c:pt>
                <c:pt idx="247">
                  <c:v>9.1761109101654679</c:v>
                </c:pt>
                <c:pt idx="248">
                  <c:v>7.5626094775051653</c:v>
                </c:pt>
                <c:pt idx="249">
                  <c:v>7.3632650726865565</c:v>
                </c:pt>
                <c:pt idx="250">
                  <c:v>5.9139985447622978</c:v>
                </c:pt>
                <c:pt idx="251">
                  <c:v>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FF-004C-8DA6-6F85E672D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5962047"/>
        <c:axId val="285961151"/>
      </c:lineChart>
      <c:catAx>
        <c:axId val="28596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961151"/>
        <c:crosses val="autoZero"/>
        <c:auto val="1"/>
        <c:lblAlgn val="ctr"/>
        <c:lblOffset val="100"/>
        <c:noMultiLvlLbl val="0"/>
      </c:catAx>
      <c:valAx>
        <c:axId val="28596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96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Kenechukwu!$I$1:$I$3</c:f>
              <c:strCache>
                <c:ptCount val="3"/>
                <c:pt idx="2">
                  <c:v>Daily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Kenechukwu!$B$4:$B$254</c:f>
              <c:strCache>
                <c:ptCount val="251"/>
                <c:pt idx="0">
                  <c:v>03/18/2026</c:v>
                </c:pt>
                <c:pt idx="1">
                  <c:v>03/17/2026</c:v>
                </c:pt>
                <c:pt idx="2">
                  <c:v>03/16/2026</c:v>
                </c:pt>
                <c:pt idx="3">
                  <c:v>03/13/2026</c:v>
                </c:pt>
                <c:pt idx="4">
                  <c:v>03/12/2026</c:v>
                </c:pt>
                <c:pt idx="5">
                  <c:v>03/11/2026</c:v>
                </c:pt>
                <c:pt idx="6">
                  <c:v>03/10/2026</c:v>
                </c:pt>
                <c:pt idx="7">
                  <c:v>03/09/2026</c:v>
                </c:pt>
                <c:pt idx="8">
                  <c:v>03/06/2026</c:v>
                </c:pt>
                <c:pt idx="9">
                  <c:v>03/05/2026</c:v>
                </c:pt>
                <c:pt idx="10">
                  <c:v>03/04/2026</c:v>
                </c:pt>
                <c:pt idx="11">
                  <c:v>03/03/2026</c:v>
                </c:pt>
                <c:pt idx="12">
                  <c:v>03/02/2026</c:v>
                </c:pt>
                <c:pt idx="13">
                  <c:v>02/27/2026</c:v>
                </c:pt>
                <c:pt idx="14">
                  <c:v>02/26/2026</c:v>
                </c:pt>
                <c:pt idx="15">
                  <c:v>02/25/2026</c:v>
                </c:pt>
                <c:pt idx="16">
                  <c:v>02/24/2026</c:v>
                </c:pt>
                <c:pt idx="17">
                  <c:v>02/23/2026</c:v>
                </c:pt>
                <c:pt idx="18">
                  <c:v>02/20/2026</c:v>
                </c:pt>
                <c:pt idx="19">
                  <c:v>02/19/2026</c:v>
                </c:pt>
                <c:pt idx="20">
                  <c:v>02/18/2026</c:v>
                </c:pt>
                <c:pt idx="21">
                  <c:v>02/17/2026</c:v>
                </c:pt>
                <c:pt idx="22">
                  <c:v>02/13/2026</c:v>
                </c:pt>
                <c:pt idx="23">
                  <c:v>02/12/2026</c:v>
                </c:pt>
                <c:pt idx="24">
                  <c:v>02/11/2026</c:v>
                </c:pt>
                <c:pt idx="25">
                  <c:v>02/10/2026</c:v>
                </c:pt>
                <c:pt idx="26">
                  <c:v>02/09/2026</c:v>
                </c:pt>
                <c:pt idx="27">
                  <c:v>02/06/2026</c:v>
                </c:pt>
                <c:pt idx="28">
                  <c:v>02/05/2026</c:v>
                </c:pt>
                <c:pt idx="29">
                  <c:v>02/04/2026</c:v>
                </c:pt>
                <c:pt idx="30">
                  <c:v>02/03/2026</c:v>
                </c:pt>
                <c:pt idx="31">
                  <c:v>02/02/2026</c:v>
                </c:pt>
                <c:pt idx="32">
                  <c:v>01/30/2026</c:v>
                </c:pt>
                <c:pt idx="33">
                  <c:v>01/29/2026</c:v>
                </c:pt>
                <c:pt idx="34">
                  <c:v>01/28/2026</c:v>
                </c:pt>
                <c:pt idx="35">
                  <c:v>01/27/2026</c:v>
                </c:pt>
                <c:pt idx="36">
                  <c:v>01/26/2026</c:v>
                </c:pt>
                <c:pt idx="37">
                  <c:v>01/23/2026</c:v>
                </c:pt>
                <c:pt idx="38">
                  <c:v>01/22/2026</c:v>
                </c:pt>
                <c:pt idx="39">
                  <c:v>01/21/2026</c:v>
                </c:pt>
                <c:pt idx="40">
                  <c:v>01/20/2026</c:v>
                </c:pt>
                <c:pt idx="41">
                  <c:v>01/16/2026</c:v>
                </c:pt>
                <c:pt idx="42">
                  <c:v>01/15/2026</c:v>
                </c:pt>
                <c:pt idx="43">
                  <c:v>01/14/2026</c:v>
                </c:pt>
                <c:pt idx="44">
                  <c:v>01/13/2026</c:v>
                </c:pt>
                <c:pt idx="45">
                  <c:v>01/12/2026</c:v>
                </c:pt>
                <c:pt idx="46">
                  <c:v>01/09/2026</c:v>
                </c:pt>
                <c:pt idx="47">
                  <c:v>01/08/2026</c:v>
                </c:pt>
                <c:pt idx="48">
                  <c:v>01/07/2026</c:v>
                </c:pt>
                <c:pt idx="49">
                  <c:v>01/06/2026</c:v>
                </c:pt>
                <c:pt idx="50">
                  <c:v>01/05/2026</c:v>
                </c:pt>
                <c:pt idx="51">
                  <c:v>01/02/2026</c:v>
                </c:pt>
                <c:pt idx="52">
                  <c:v>12/31/2025</c:v>
                </c:pt>
                <c:pt idx="53">
                  <c:v>12/30/2025</c:v>
                </c:pt>
                <c:pt idx="54">
                  <c:v>12/29/2025</c:v>
                </c:pt>
                <c:pt idx="55">
                  <c:v>12/26/2025</c:v>
                </c:pt>
                <c:pt idx="56">
                  <c:v>12/24/2025</c:v>
                </c:pt>
                <c:pt idx="57">
                  <c:v>12/23/2025</c:v>
                </c:pt>
                <c:pt idx="58">
                  <c:v>12/22/2025</c:v>
                </c:pt>
                <c:pt idx="59">
                  <c:v>12/19/2025</c:v>
                </c:pt>
                <c:pt idx="60">
                  <c:v>12/18/2025</c:v>
                </c:pt>
                <c:pt idx="61">
                  <c:v>12/17/2025</c:v>
                </c:pt>
                <c:pt idx="62">
                  <c:v>12/16/2025</c:v>
                </c:pt>
                <c:pt idx="63">
                  <c:v>12/15/2025</c:v>
                </c:pt>
                <c:pt idx="64">
                  <c:v>12/12/2025</c:v>
                </c:pt>
                <c:pt idx="65">
                  <c:v>12/11/2025</c:v>
                </c:pt>
                <c:pt idx="66">
                  <c:v>12/10/2025</c:v>
                </c:pt>
                <c:pt idx="67">
                  <c:v>12/09/2025</c:v>
                </c:pt>
                <c:pt idx="68">
                  <c:v>12/08/2025</c:v>
                </c:pt>
                <c:pt idx="69">
                  <c:v>12/05/2025</c:v>
                </c:pt>
                <c:pt idx="70">
                  <c:v>12/04/2025</c:v>
                </c:pt>
                <c:pt idx="71">
                  <c:v>12/03/2025</c:v>
                </c:pt>
                <c:pt idx="72">
                  <c:v>12/02/2025</c:v>
                </c:pt>
                <c:pt idx="73">
                  <c:v>12/01/2025</c:v>
                </c:pt>
                <c:pt idx="74">
                  <c:v>11/28/2025</c:v>
                </c:pt>
                <c:pt idx="75">
                  <c:v>11/26/2025</c:v>
                </c:pt>
                <c:pt idx="76">
                  <c:v>11/25/2025</c:v>
                </c:pt>
                <c:pt idx="77">
                  <c:v>11/24/2025</c:v>
                </c:pt>
                <c:pt idx="78">
                  <c:v>11/21/2025</c:v>
                </c:pt>
                <c:pt idx="79">
                  <c:v>11/20/2025</c:v>
                </c:pt>
                <c:pt idx="80">
                  <c:v>11/19/2025</c:v>
                </c:pt>
                <c:pt idx="81">
                  <c:v>11/18/2025</c:v>
                </c:pt>
                <c:pt idx="82">
                  <c:v>11/17/2025</c:v>
                </c:pt>
                <c:pt idx="83">
                  <c:v>11/14/2025</c:v>
                </c:pt>
                <c:pt idx="84">
                  <c:v>11/13/2025</c:v>
                </c:pt>
                <c:pt idx="85">
                  <c:v>11/12/2025</c:v>
                </c:pt>
                <c:pt idx="86">
                  <c:v>11/11/2025</c:v>
                </c:pt>
                <c:pt idx="87">
                  <c:v>11/10/2025</c:v>
                </c:pt>
                <c:pt idx="88">
                  <c:v>11/07/2025</c:v>
                </c:pt>
                <c:pt idx="89">
                  <c:v>11/06/2025</c:v>
                </c:pt>
                <c:pt idx="90">
                  <c:v>11/05/2025</c:v>
                </c:pt>
                <c:pt idx="91">
                  <c:v>11/04/2025</c:v>
                </c:pt>
                <c:pt idx="92">
                  <c:v>11/03/2025</c:v>
                </c:pt>
                <c:pt idx="93">
                  <c:v>10/31/2025</c:v>
                </c:pt>
                <c:pt idx="94">
                  <c:v>10/30/2025</c:v>
                </c:pt>
                <c:pt idx="95">
                  <c:v>10/29/2025</c:v>
                </c:pt>
                <c:pt idx="96">
                  <c:v>10/28/2025</c:v>
                </c:pt>
                <c:pt idx="97">
                  <c:v>10/27/2025</c:v>
                </c:pt>
                <c:pt idx="98">
                  <c:v>10/24/2025</c:v>
                </c:pt>
                <c:pt idx="99">
                  <c:v>10/23/2025</c:v>
                </c:pt>
                <c:pt idx="100">
                  <c:v>10/22/2025</c:v>
                </c:pt>
                <c:pt idx="101">
                  <c:v>10/21/2025</c:v>
                </c:pt>
                <c:pt idx="102">
                  <c:v>10/20/2025</c:v>
                </c:pt>
                <c:pt idx="103">
                  <c:v>10/17/2025</c:v>
                </c:pt>
                <c:pt idx="104">
                  <c:v>10/16/2025</c:v>
                </c:pt>
                <c:pt idx="105">
                  <c:v>10/15/2025</c:v>
                </c:pt>
                <c:pt idx="106">
                  <c:v>10/14/2025</c:v>
                </c:pt>
                <c:pt idx="107">
                  <c:v>10/13/2025</c:v>
                </c:pt>
                <c:pt idx="108">
                  <c:v>10/10/2025</c:v>
                </c:pt>
                <c:pt idx="109">
                  <c:v>10/09/2025</c:v>
                </c:pt>
                <c:pt idx="110">
                  <c:v>10/08/2025</c:v>
                </c:pt>
                <c:pt idx="111">
                  <c:v>10/07/2025</c:v>
                </c:pt>
                <c:pt idx="112">
                  <c:v>10/06/2025</c:v>
                </c:pt>
                <c:pt idx="113">
                  <c:v>10/03/2025</c:v>
                </c:pt>
                <c:pt idx="114">
                  <c:v>10/02/2025</c:v>
                </c:pt>
                <c:pt idx="115">
                  <c:v>10/01/2025</c:v>
                </c:pt>
                <c:pt idx="116">
                  <c:v>09/30/2025</c:v>
                </c:pt>
                <c:pt idx="117">
                  <c:v>09/29/2025</c:v>
                </c:pt>
                <c:pt idx="118">
                  <c:v>09/26/2025</c:v>
                </c:pt>
                <c:pt idx="119">
                  <c:v>09/25/2025</c:v>
                </c:pt>
                <c:pt idx="120">
                  <c:v>09/24/2025</c:v>
                </c:pt>
                <c:pt idx="121">
                  <c:v>09/23/2025</c:v>
                </c:pt>
                <c:pt idx="122">
                  <c:v>09/22/2025</c:v>
                </c:pt>
                <c:pt idx="123">
                  <c:v>09/19/2025</c:v>
                </c:pt>
                <c:pt idx="124">
                  <c:v>09/18/2025</c:v>
                </c:pt>
                <c:pt idx="125">
                  <c:v>09/17/2025</c:v>
                </c:pt>
                <c:pt idx="126">
                  <c:v>09/16/2025</c:v>
                </c:pt>
                <c:pt idx="127">
                  <c:v>09/15/2025</c:v>
                </c:pt>
                <c:pt idx="128">
                  <c:v>09/12/2025</c:v>
                </c:pt>
                <c:pt idx="129">
                  <c:v>09/11/2025</c:v>
                </c:pt>
                <c:pt idx="130">
                  <c:v>09/10/2025</c:v>
                </c:pt>
                <c:pt idx="131">
                  <c:v>09/09/2025</c:v>
                </c:pt>
                <c:pt idx="132">
                  <c:v>09/08/2025</c:v>
                </c:pt>
                <c:pt idx="133">
                  <c:v>09/05/2025</c:v>
                </c:pt>
                <c:pt idx="134">
                  <c:v>09/04/2025</c:v>
                </c:pt>
                <c:pt idx="135">
                  <c:v>09/03/2025</c:v>
                </c:pt>
                <c:pt idx="136">
                  <c:v>09/02/2025</c:v>
                </c:pt>
                <c:pt idx="137">
                  <c:v>08/29/2025</c:v>
                </c:pt>
                <c:pt idx="138">
                  <c:v>08/28/2025</c:v>
                </c:pt>
                <c:pt idx="139">
                  <c:v>08/27/2025</c:v>
                </c:pt>
                <c:pt idx="140">
                  <c:v>08/26/2025</c:v>
                </c:pt>
                <c:pt idx="141">
                  <c:v>08/25/2025</c:v>
                </c:pt>
                <c:pt idx="142">
                  <c:v>08/22/2025</c:v>
                </c:pt>
                <c:pt idx="143">
                  <c:v>08/21/2025</c:v>
                </c:pt>
                <c:pt idx="144">
                  <c:v>08/20/2025</c:v>
                </c:pt>
                <c:pt idx="145">
                  <c:v>08/19/2025</c:v>
                </c:pt>
                <c:pt idx="146">
                  <c:v>08/18/2025</c:v>
                </c:pt>
                <c:pt idx="147">
                  <c:v>08/15/2025</c:v>
                </c:pt>
                <c:pt idx="148">
                  <c:v>08/14/2025</c:v>
                </c:pt>
                <c:pt idx="149">
                  <c:v>08/13/2025</c:v>
                </c:pt>
                <c:pt idx="150">
                  <c:v>08/12/2025</c:v>
                </c:pt>
                <c:pt idx="151">
                  <c:v>08/11/2025</c:v>
                </c:pt>
                <c:pt idx="152">
                  <c:v>08/08/2025</c:v>
                </c:pt>
                <c:pt idx="153">
                  <c:v>08/07/2025</c:v>
                </c:pt>
                <c:pt idx="154">
                  <c:v>08/06/2025</c:v>
                </c:pt>
                <c:pt idx="155">
                  <c:v>08/05/2025</c:v>
                </c:pt>
                <c:pt idx="156">
                  <c:v>08/04/2025</c:v>
                </c:pt>
                <c:pt idx="157">
                  <c:v>08/01/2025</c:v>
                </c:pt>
                <c:pt idx="158">
                  <c:v>07/31/2025</c:v>
                </c:pt>
                <c:pt idx="159">
                  <c:v>07/30/2025</c:v>
                </c:pt>
                <c:pt idx="160">
                  <c:v>07/29/2025</c:v>
                </c:pt>
                <c:pt idx="161">
                  <c:v>07/28/2025</c:v>
                </c:pt>
                <c:pt idx="162">
                  <c:v>07/25/2025</c:v>
                </c:pt>
                <c:pt idx="163">
                  <c:v>07/24/2025</c:v>
                </c:pt>
                <c:pt idx="164">
                  <c:v>07/23/2025</c:v>
                </c:pt>
                <c:pt idx="165">
                  <c:v>07/22/2025</c:v>
                </c:pt>
                <c:pt idx="166">
                  <c:v>07/21/2025</c:v>
                </c:pt>
                <c:pt idx="167">
                  <c:v>07/18/2025</c:v>
                </c:pt>
                <c:pt idx="168">
                  <c:v>07/17/2025</c:v>
                </c:pt>
                <c:pt idx="169">
                  <c:v>07/16/2025</c:v>
                </c:pt>
                <c:pt idx="170">
                  <c:v>07/15/2025</c:v>
                </c:pt>
                <c:pt idx="171">
                  <c:v>07/14/2025</c:v>
                </c:pt>
                <c:pt idx="172">
                  <c:v>07/11/2025</c:v>
                </c:pt>
                <c:pt idx="173">
                  <c:v>07/10/2025</c:v>
                </c:pt>
                <c:pt idx="174">
                  <c:v>07/09/2025</c:v>
                </c:pt>
                <c:pt idx="175">
                  <c:v>07/08/2025</c:v>
                </c:pt>
                <c:pt idx="176">
                  <c:v>07/07/2025</c:v>
                </c:pt>
                <c:pt idx="177">
                  <c:v>07/03/2025</c:v>
                </c:pt>
                <c:pt idx="178">
                  <c:v>07/02/2025</c:v>
                </c:pt>
                <c:pt idx="179">
                  <c:v>07/01/2025</c:v>
                </c:pt>
                <c:pt idx="180">
                  <c:v>06/30/2025</c:v>
                </c:pt>
                <c:pt idx="181">
                  <c:v>06/27/2025</c:v>
                </c:pt>
                <c:pt idx="182">
                  <c:v>06/26/2025</c:v>
                </c:pt>
                <c:pt idx="183">
                  <c:v>06/25/2025</c:v>
                </c:pt>
                <c:pt idx="184">
                  <c:v>06/24/2025</c:v>
                </c:pt>
                <c:pt idx="185">
                  <c:v>06/23/2025</c:v>
                </c:pt>
                <c:pt idx="186">
                  <c:v>06/20/2025</c:v>
                </c:pt>
                <c:pt idx="187">
                  <c:v>06/18/2025</c:v>
                </c:pt>
                <c:pt idx="188">
                  <c:v>06/17/2025</c:v>
                </c:pt>
                <c:pt idx="189">
                  <c:v>06/16/2025</c:v>
                </c:pt>
                <c:pt idx="190">
                  <c:v>06/13/2025</c:v>
                </c:pt>
                <c:pt idx="191">
                  <c:v>06/12/2025</c:v>
                </c:pt>
                <c:pt idx="192">
                  <c:v>06/11/2025</c:v>
                </c:pt>
                <c:pt idx="193">
                  <c:v>06/10/2025</c:v>
                </c:pt>
                <c:pt idx="194">
                  <c:v>06/09/2025</c:v>
                </c:pt>
                <c:pt idx="195">
                  <c:v>06/06/2025</c:v>
                </c:pt>
                <c:pt idx="196">
                  <c:v>06/05/2025</c:v>
                </c:pt>
                <c:pt idx="197">
                  <c:v>06/04/2025</c:v>
                </c:pt>
                <c:pt idx="198">
                  <c:v>06/03/2025</c:v>
                </c:pt>
                <c:pt idx="199">
                  <c:v>06/02/2025</c:v>
                </c:pt>
                <c:pt idx="200">
                  <c:v>05/30/2025</c:v>
                </c:pt>
                <c:pt idx="201">
                  <c:v>05/29/2025</c:v>
                </c:pt>
                <c:pt idx="202">
                  <c:v>05/28/2025</c:v>
                </c:pt>
                <c:pt idx="203">
                  <c:v>05/27/2025</c:v>
                </c:pt>
                <c:pt idx="204">
                  <c:v>05/23/2025</c:v>
                </c:pt>
                <c:pt idx="205">
                  <c:v>05/22/2025</c:v>
                </c:pt>
                <c:pt idx="206">
                  <c:v>05/21/2025</c:v>
                </c:pt>
                <c:pt idx="207">
                  <c:v>05/20/2025</c:v>
                </c:pt>
                <c:pt idx="208">
                  <c:v>05/19/2025</c:v>
                </c:pt>
                <c:pt idx="209">
                  <c:v>05/16/2025</c:v>
                </c:pt>
                <c:pt idx="210">
                  <c:v>05/15/2025</c:v>
                </c:pt>
                <c:pt idx="211">
                  <c:v>05/14/2025</c:v>
                </c:pt>
                <c:pt idx="212">
                  <c:v>05/13/2025</c:v>
                </c:pt>
                <c:pt idx="213">
                  <c:v>05/12/2025</c:v>
                </c:pt>
                <c:pt idx="214">
                  <c:v>05/09/2025</c:v>
                </c:pt>
                <c:pt idx="215">
                  <c:v>05/08/2025</c:v>
                </c:pt>
                <c:pt idx="216">
                  <c:v>05/07/2025</c:v>
                </c:pt>
                <c:pt idx="217">
                  <c:v>05/06/2025</c:v>
                </c:pt>
                <c:pt idx="218">
                  <c:v>05/05/2025</c:v>
                </c:pt>
                <c:pt idx="219">
                  <c:v>05/02/2025</c:v>
                </c:pt>
                <c:pt idx="220">
                  <c:v>05/01/2025</c:v>
                </c:pt>
                <c:pt idx="221">
                  <c:v>04/30/2025</c:v>
                </c:pt>
                <c:pt idx="222">
                  <c:v>04/29/2025</c:v>
                </c:pt>
                <c:pt idx="223">
                  <c:v>04/28/2025</c:v>
                </c:pt>
                <c:pt idx="224">
                  <c:v>04/25/2025</c:v>
                </c:pt>
                <c:pt idx="225">
                  <c:v>04/24/2025</c:v>
                </c:pt>
                <c:pt idx="226">
                  <c:v>04/23/2025</c:v>
                </c:pt>
                <c:pt idx="227">
                  <c:v>04/22/2025</c:v>
                </c:pt>
                <c:pt idx="228">
                  <c:v>04/21/2025</c:v>
                </c:pt>
                <c:pt idx="229">
                  <c:v>04/17/2025</c:v>
                </c:pt>
                <c:pt idx="230">
                  <c:v>04/16/2025</c:v>
                </c:pt>
                <c:pt idx="231">
                  <c:v>04/15/2025</c:v>
                </c:pt>
                <c:pt idx="232">
                  <c:v>04/14/2025</c:v>
                </c:pt>
                <c:pt idx="233">
                  <c:v>04/11/2025</c:v>
                </c:pt>
                <c:pt idx="234">
                  <c:v>04/10/2025</c:v>
                </c:pt>
                <c:pt idx="235">
                  <c:v>04/09/2025</c:v>
                </c:pt>
                <c:pt idx="236">
                  <c:v>04/08/2025</c:v>
                </c:pt>
                <c:pt idx="237">
                  <c:v>04/07/2025</c:v>
                </c:pt>
                <c:pt idx="238">
                  <c:v>04/04/2025</c:v>
                </c:pt>
                <c:pt idx="239">
                  <c:v>04/03/2025</c:v>
                </c:pt>
                <c:pt idx="240">
                  <c:v>04/02/2025</c:v>
                </c:pt>
                <c:pt idx="241">
                  <c:v>04/01/2025</c:v>
                </c:pt>
                <c:pt idx="242">
                  <c:v>03/31/2025</c:v>
                </c:pt>
                <c:pt idx="243">
                  <c:v>03/28/2025</c:v>
                </c:pt>
                <c:pt idx="244">
                  <c:v>03/27/2025</c:v>
                </c:pt>
                <c:pt idx="245">
                  <c:v>03/26/2025</c:v>
                </c:pt>
                <c:pt idx="246">
                  <c:v>03/25/2025</c:v>
                </c:pt>
                <c:pt idx="247">
                  <c:v>03/24/2025</c:v>
                </c:pt>
                <c:pt idx="248">
                  <c:v>03/21/2025</c:v>
                </c:pt>
                <c:pt idx="249">
                  <c:v>03/20/2025</c:v>
                </c:pt>
                <c:pt idx="250">
                  <c:v>03/19/2025</c:v>
                </c:pt>
              </c:strCache>
            </c:strRef>
          </c:cat>
          <c:val>
            <c:numRef>
              <c:f>Kenechukwu!$I$4:$I$254</c:f>
              <c:numCache>
                <c:formatCode>General</c:formatCode>
                <c:ptCount val="251"/>
                <c:pt idx="0">
                  <c:v>6.8659586754556023E-2</c:v>
                </c:pt>
                <c:pt idx="1">
                  <c:v>2.9162129911109225E-2</c:v>
                </c:pt>
                <c:pt idx="2">
                  <c:v>1.0346034736712084E-2</c:v>
                </c:pt>
                <c:pt idx="3">
                  <c:v>-1.8993006148256719E-2</c:v>
                </c:pt>
                <c:pt idx="4">
                  <c:v>4.150648680989194E-2</c:v>
                </c:pt>
                <c:pt idx="5">
                  <c:v>-0.10527741431569171</c:v>
                </c:pt>
                <c:pt idx="6">
                  <c:v>2.1929045084799093E-2</c:v>
                </c:pt>
                <c:pt idx="7">
                  <c:v>3.7228814509188968E-2</c:v>
                </c:pt>
                <c:pt idx="8">
                  <c:v>2.8003117216400863E-2</c:v>
                </c:pt>
                <c:pt idx="9">
                  <c:v>-1.1844058307528327E-2</c:v>
                </c:pt>
                <c:pt idx="10">
                  <c:v>1.1028331041478268E-2</c:v>
                </c:pt>
                <c:pt idx="11">
                  <c:v>2.7761918704318767E-3</c:v>
                </c:pt>
                <c:pt idx="12">
                  <c:v>-5.9517761576862893E-2</c:v>
                </c:pt>
                <c:pt idx="13">
                  <c:v>2.6228511526255049E-3</c:v>
                </c:pt>
                <c:pt idx="14">
                  <c:v>-5.7630348738854198E-2</c:v>
                </c:pt>
                <c:pt idx="15">
                  <c:v>7.2944784035378074E-4</c:v>
                </c:pt>
                <c:pt idx="16">
                  <c:v>-5.783924837483112E-2</c:v>
                </c:pt>
                <c:pt idx="17">
                  <c:v>-2.9050502226587449E-2</c:v>
                </c:pt>
                <c:pt idx="18">
                  <c:v>-2.6016653913867149E-2</c:v>
                </c:pt>
                <c:pt idx="19">
                  <c:v>-3.143904276315998E-2</c:v>
                </c:pt>
                <c:pt idx="20">
                  <c:v>-4.9295342255447266E-2</c:v>
                </c:pt>
                <c:pt idx="21">
                  <c:v>-9.2166551049240319E-3</c:v>
                </c:pt>
                <c:pt idx="22">
                  <c:v>8.6697311737285232E-2</c:v>
                </c:pt>
                <c:pt idx="23">
                  <c:v>1.3869121955866759E-2</c:v>
                </c:pt>
                <c:pt idx="24">
                  <c:v>9.2654534457901061E-3</c:v>
                </c:pt>
                <c:pt idx="25">
                  <c:v>-6.1875403718087529E-2</c:v>
                </c:pt>
                <c:pt idx="26">
                  <c:v>3.8221212820197803E-2</c:v>
                </c:pt>
                <c:pt idx="27">
                  <c:v>2.5650863774212995E-2</c:v>
                </c:pt>
                <c:pt idx="28">
                  <c:v>-0.11325730177515378</c:v>
                </c:pt>
                <c:pt idx="29">
                  <c:v>7.523771085825387E-3</c:v>
                </c:pt>
                <c:pt idx="30">
                  <c:v>-1.9703901563237203E-2</c:v>
                </c:pt>
                <c:pt idx="31">
                  <c:v>-4.924385610678067E-3</c:v>
                </c:pt>
                <c:pt idx="32">
                  <c:v>4.5462374076757378E-2</c:v>
                </c:pt>
                <c:pt idx="33">
                  <c:v>1.4175892242973775E-2</c:v>
                </c:pt>
                <c:pt idx="34">
                  <c:v>2.5779484834620586E-2</c:v>
                </c:pt>
                <c:pt idx="35">
                  <c:v>0.11460338273900386</c:v>
                </c:pt>
                <c:pt idx="36">
                  <c:v>-0.22940959289285617</c:v>
                </c:pt>
                <c:pt idx="37">
                  <c:v>0.10214781328192882</c:v>
                </c:pt>
                <c:pt idx="38">
                  <c:v>0</c:v>
                </c:pt>
                <c:pt idx="39">
                  <c:v>3.1302459894161555E-2</c:v>
                </c:pt>
                <c:pt idx="40">
                  <c:v>0.1373767295567847</c:v>
                </c:pt>
                <c:pt idx="41">
                  <c:v>0.22496921921450624</c:v>
                </c:pt>
                <c:pt idx="42">
                  <c:v>0.10820292967981571</c:v>
                </c:pt>
                <c:pt idx="43">
                  <c:v>4.006045895089605E-2</c:v>
                </c:pt>
                <c:pt idx="44">
                  <c:v>-4.324324391711265E-4</c:v>
                </c:pt>
                <c:pt idx="45">
                  <c:v>1.7004987920957837E-2</c:v>
                </c:pt>
                <c:pt idx="46">
                  <c:v>5.8400842948364007E-2</c:v>
                </c:pt>
                <c:pt idx="47">
                  <c:v>-0.10543044328276308</c:v>
                </c:pt>
                <c:pt idx="48">
                  <c:v>0.1716798288239636</c:v>
                </c:pt>
                <c:pt idx="49">
                  <c:v>-5.2164645659461439E-2</c:v>
                </c:pt>
                <c:pt idx="50">
                  <c:v>-4.4390089377068009E-2</c:v>
                </c:pt>
                <c:pt idx="51">
                  <c:v>7.5605108724992487E-2</c:v>
                </c:pt>
                <c:pt idx="52">
                  <c:v>6.6296162445446782E-2</c:v>
                </c:pt>
                <c:pt idx="53">
                  <c:v>-4.8082515952784455E-2</c:v>
                </c:pt>
                <c:pt idx="54">
                  <c:v>3.1796774081998991E-2</c:v>
                </c:pt>
                <c:pt idx="55">
                  <c:v>-5.0010420574661318E-2</c:v>
                </c:pt>
                <c:pt idx="56">
                  <c:v>-3.1215019347924478E-2</c:v>
                </c:pt>
                <c:pt idx="57">
                  <c:v>2.2231105578912058E-2</c:v>
                </c:pt>
                <c:pt idx="58">
                  <c:v>-4.1430946127421597E-2</c:v>
                </c:pt>
                <c:pt idx="59">
                  <c:v>2.8701099672649777E-2</c:v>
                </c:pt>
                <c:pt idx="60">
                  <c:v>-2.0551095310725298E-2</c:v>
                </c:pt>
                <c:pt idx="61">
                  <c:v>-0.12366289148376874</c:v>
                </c:pt>
                <c:pt idx="62">
                  <c:v>-0.10204925435417034</c:v>
                </c:pt>
                <c:pt idx="63">
                  <c:v>-0.14397111161379406</c:v>
                </c:pt>
                <c:pt idx="64">
                  <c:v>-3.1955663971640014E-2</c:v>
                </c:pt>
                <c:pt idx="65">
                  <c:v>-5.2427059194182557E-2</c:v>
                </c:pt>
                <c:pt idx="66">
                  <c:v>1.8734155998732349E-2</c:v>
                </c:pt>
                <c:pt idx="67">
                  <c:v>-5.5896902382123859E-2</c:v>
                </c:pt>
                <c:pt idx="68">
                  <c:v>-4.3530768828229871E-2</c:v>
                </c:pt>
                <c:pt idx="69">
                  <c:v>-0.10385273660444447</c:v>
                </c:pt>
                <c:pt idx="70">
                  <c:v>5.3635215832631616E-2</c:v>
                </c:pt>
                <c:pt idx="71">
                  <c:v>-1.5894887849784545E-2</c:v>
                </c:pt>
                <c:pt idx="72">
                  <c:v>7.0367442150118087E-2</c:v>
                </c:pt>
                <c:pt idx="73">
                  <c:v>-3.1146728996836792E-2</c:v>
                </c:pt>
                <c:pt idx="74">
                  <c:v>0.12783337150988489</c:v>
                </c:pt>
                <c:pt idx="75">
                  <c:v>0.25920260112991239</c:v>
                </c:pt>
                <c:pt idx="76">
                  <c:v>-0.56935752943375184</c:v>
                </c:pt>
                <c:pt idx="77">
                  <c:v>0.1949340948447984</c:v>
                </c:pt>
                <c:pt idx="78">
                  <c:v>-0.27292341370649265</c:v>
                </c:pt>
                <c:pt idx="79">
                  <c:v>-0.25848291775951865</c:v>
                </c:pt>
                <c:pt idx="80">
                  <c:v>-6.15578929994334E-2</c:v>
                </c:pt>
                <c:pt idx="81">
                  <c:v>-3.6634133179780259E-2</c:v>
                </c:pt>
                <c:pt idx="82">
                  <c:v>0.18954180476744167</c:v>
                </c:pt>
                <c:pt idx="83">
                  <c:v>-0.17504879746487498</c:v>
                </c:pt>
                <c:pt idx="84">
                  <c:v>-0.10389959501815144</c:v>
                </c:pt>
                <c:pt idx="85">
                  <c:v>-3.2365284502031688E-2</c:v>
                </c:pt>
                <c:pt idx="86">
                  <c:v>-6.3492276786587531E-3</c:v>
                </c:pt>
                <c:pt idx="87">
                  <c:v>-4.9392755329576377E-2</c:v>
                </c:pt>
                <c:pt idx="88">
                  <c:v>-2.3810648693718517E-2</c:v>
                </c:pt>
                <c:pt idx="89">
                  <c:v>-3.4685557987890081E-2</c:v>
                </c:pt>
                <c:pt idx="90">
                  <c:v>1.1428695823622825E-2</c:v>
                </c:pt>
                <c:pt idx="91">
                  <c:v>-9.3218128832100788E-2</c:v>
                </c:pt>
                <c:pt idx="92">
                  <c:v>-5.2219439811517221E-3</c:v>
                </c:pt>
                <c:pt idx="93">
                  <c:v>-1.0362787035546606E-2</c:v>
                </c:pt>
                <c:pt idx="94">
                  <c:v>-3.0459207484708539E-2</c:v>
                </c:pt>
                <c:pt idx="95">
                  <c:v>-3.4401426717332373E-2</c:v>
                </c:pt>
                <c:pt idx="96">
                  <c:v>1.9512814223581754E-2</c:v>
                </c:pt>
                <c:pt idx="97">
                  <c:v>-1.9512814223581754E-2</c:v>
                </c:pt>
                <c:pt idx="98">
                  <c:v>-5.1776269523720053E-2</c:v>
                </c:pt>
                <c:pt idx="99">
                  <c:v>1.3857034661426293E-2</c:v>
                </c:pt>
                <c:pt idx="100">
                  <c:v>-4.1008023727377108E-2</c:v>
                </c:pt>
                <c:pt idx="101">
                  <c:v>1.801850550267825E-2</c:v>
                </c:pt>
                <c:pt idx="102">
                  <c:v>6.8415318167167616E-3</c:v>
                </c:pt>
                <c:pt idx="103">
                  <c:v>-0.11447219600908221</c:v>
                </c:pt>
                <c:pt idx="104">
                  <c:v>-0.20585205420414854</c:v>
                </c:pt>
                <c:pt idx="105">
                  <c:v>3.3277900926744763E-3</c:v>
                </c:pt>
                <c:pt idx="106">
                  <c:v>0.11653381625595161</c:v>
                </c:pt>
                <c:pt idx="107">
                  <c:v>9.8310932243563132E-2</c:v>
                </c:pt>
                <c:pt idx="108">
                  <c:v>-8.2304991365154123E-3</c:v>
                </c:pt>
                <c:pt idx="109">
                  <c:v>-7.4985806884562689E-2</c:v>
                </c:pt>
                <c:pt idx="110">
                  <c:v>-5.1863474009574029E-2</c:v>
                </c:pt>
                <c:pt idx="111">
                  <c:v>-2.8471674081312015E-2</c:v>
                </c:pt>
                <c:pt idx="112">
                  <c:v>-1.7391742711869052E-2</c:v>
                </c:pt>
                <c:pt idx="113">
                  <c:v>0.11305286128098191</c:v>
                </c:pt>
                <c:pt idx="114">
                  <c:v>6.3766618358989224E-2</c:v>
                </c:pt>
                <c:pt idx="115">
                  <c:v>4.1237171838620634E-3</c:v>
                </c:pt>
                <c:pt idx="116">
                  <c:v>-3.6515212975097411E-2</c:v>
                </c:pt>
                <c:pt idx="117">
                  <c:v>-2.7506645789833639E-2</c:v>
                </c:pt>
                <c:pt idx="118">
                  <c:v>6.8162651430962451E-2</c:v>
                </c:pt>
                <c:pt idx="119">
                  <c:v>4.6717624567459759E-2</c:v>
                </c:pt>
                <c:pt idx="120">
                  <c:v>-1.7241806434506124E-2</c:v>
                </c:pt>
                <c:pt idx="121">
                  <c:v>-5.0010420574661429E-2</c:v>
                </c:pt>
                <c:pt idx="122">
                  <c:v>7.5985906977922069E-2</c:v>
                </c:pt>
                <c:pt idx="123">
                  <c:v>-2.5975486403260639E-2</c:v>
                </c:pt>
                <c:pt idx="124">
                  <c:v>-8.5106896679086885E-3</c:v>
                </c:pt>
                <c:pt idx="125">
                  <c:v>0</c:v>
                </c:pt>
                <c:pt idx="126">
                  <c:v>3.0109801471370434E-2</c:v>
                </c:pt>
                <c:pt idx="127">
                  <c:v>6.3083975426576844E-2</c:v>
                </c:pt>
                <c:pt idx="128">
                  <c:v>2.3530497410194084E-2</c:v>
                </c:pt>
                <c:pt idx="129">
                  <c:v>-9.5310179804324879E-2</c:v>
                </c:pt>
                <c:pt idx="130">
                  <c:v>5.7922647732704502E-2</c:v>
                </c:pt>
                <c:pt idx="131">
                  <c:v>-0.10444266336759733</c:v>
                </c:pt>
                <c:pt idx="132">
                  <c:v>-8.2304991365154123E-3</c:v>
                </c:pt>
                <c:pt idx="133">
                  <c:v>8.9996453833083079E-2</c:v>
                </c:pt>
                <c:pt idx="134">
                  <c:v>8.4161792321710616E-2</c:v>
                </c:pt>
                <c:pt idx="135">
                  <c:v>-4.2966035883443388E-2</c:v>
                </c:pt>
                <c:pt idx="136">
                  <c:v>0.21268442052407255</c:v>
                </c:pt>
                <c:pt idx="137">
                  <c:v>-6.7064230580545892E-2</c:v>
                </c:pt>
                <c:pt idx="138">
                  <c:v>-5.3908486348764884E-3</c:v>
                </c:pt>
                <c:pt idx="139">
                  <c:v>-1.6000341346441016E-2</c:v>
                </c:pt>
                <c:pt idx="140">
                  <c:v>-8.612915372993879E-2</c:v>
                </c:pt>
                <c:pt idx="141">
                  <c:v>4.9761509559063999E-2</c:v>
                </c:pt>
                <c:pt idx="142">
                  <c:v>-9.7163748453647947E-2</c:v>
                </c:pt>
                <c:pt idx="143">
                  <c:v>0</c:v>
                </c:pt>
                <c:pt idx="144">
                  <c:v>-0.10951852580648991</c:v>
                </c:pt>
                <c:pt idx="145">
                  <c:v>-4.4632154020768255E-2</c:v>
                </c:pt>
                <c:pt idx="146">
                  <c:v>-4.6520015634892942E-2</c:v>
                </c:pt>
                <c:pt idx="147">
                  <c:v>1.5267472130788495E-2</c:v>
                </c:pt>
                <c:pt idx="148">
                  <c:v>-8.1225439922585907E-2</c:v>
                </c:pt>
                <c:pt idx="149">
                  <c:v>-6.1875403718087529E-2</c:v>
                </c:pt>
                <c:pt idx="150">
                  <c:v>-0.1570037488096645</c:v>
                </c:pt>
                <c:pt idx="151">
                  <c:v>-0.10536051565782634</c:v>
                </c:pt>
                <c:pt idx="152">
                  <c:v>1.5504186535965081E-2</c:v>
                </c:pt>
                <c:pt idx="153">
                  <c:v>-2.6007817000572864E-3</c:v>
                </c:pt>
                <c:pt idx="154">
                  <c:v>-1.0336009330662144E-2</c:v>
                </c:pt>
                <c:pt idx="155">
                  <c:v>5.1546505886645999E-3</c:v>
                </c:pt>
                <c:pt idx="156">
                  <c:v>3.4168895615249717E-2</c:v>
                </c:pt>
                <c:pt idx="157">
                  <c:v>-2.1164811192043054E-2</c:v>
                </c:pt>
                <c:pt idx="158">
                  <c:v>-2.584123118388737E-2</c:v>
                </c:pt>
                <c:pt idx="159">
                  <c:v>1.0256500167189042E-2</c:v>
                </c:pt>
                <c:pt idx="160">
                  <c:v>-1.5345569674660497E-2</c:v>
                </c:pt>
                <c:pt idx="161">
                  <c:v>7.6433493125680485E-3</c:v>
                </c:pt>
                <c:pt idx="162">
                  <c:v>2.5908184858664862E-2</c:v>
                </c:pt>
                <c:pt idx="163">
                  <c:v>-9.0286846672100518E-2</c:v>
                </c:pt>
                <c:pt idx="164">
                  <c:v>0</c:v>
                </c:pt>
                <c:pt idx="165">
                  <c:v>-5.1413191276369785E-2</c:v>
                </c:pt>
                <c:pt idx="166">
                  <c:v>3.9494099039159458E-2</c:v>
                </c:pt>
                <c:pt idx="167">
                  <c:v>0</c:v>
                </c:pt>
                <c:pt idx="168">
                  <c:v>-7.0838548884049057E-3</c:v>
                </c:pt>
                <c:pt idx="169">
                  <c:v>-1.1696039763191335E-2</c:v>
                </c:pt>
                <c:pt idx="170">
                  <c:v>-7.8252196899748272E-2</c:v>
                </c:pt>
                <c:pt idx="171">
                  <c:v>-4.0047501129275354E-2</c:v>
                </c:pt>
                <c:pt idx="172">
                  <c:v>5.085841723349116E-2</c:v>
                </c:pt>
                <c:pt idx="173">
                  <c:v>-0.18232155679395468</c:v>
                </c:pt>
                <c:pt idx="174">
                  <c:v>5.9719234701622215E-2</c:v>
                </c:pt>
                <c:pt idx="175">
                  <c:v>4.5238785478844301E-2</c:v>
                </c:pt>
                <c:pt idx="176">
                  <c:v>0.14480481740902063</c:v>
                </c:pt>
                <c:pt idx="177">
                  <c:v>0.12624900360518176</c:v>
                </c:pt>
                <c:pt idx="178">
                  <c:v>9.6894547709027945E-2</c:v>
                </c:pt>
                <c:pt idx="179">
                  <c:v>1.7595761890379702E-2</c:v>
                </c:pt>
                <c:pt idx="180">
                  <c:v>-9.3156167124416545E-2</c:v>
                </c:pt>
                <c:pt idx="181">
                  <c:v>-5.2505497377930643E-2</c:v>
                </c:pt>
                <c:pt idx="182">
                  <c:v>1.2870190520535063E-2</c:v>
                </c:pt>
                <c:pt idx="183">
                  <c:v>-7.7419741536155495E-3</c:v>
                </c:pt>
                <c:pt idx="184">
                  <c:v>5.821749556387612E-2</c:v>
                </c:pt>
                <c:pt idx="185">
                  <c:v>-0.12532341220669307</c:v>
                </c:pt>
                <c:pt idx="186">
                  <c:v>-3.0771658666753687E-2</c:v>
                </c:pt>
                <c:pt idx="187">
                  <c:v>-7.842763329823832E-2</c:v>
                </c:pt>
                <c:pt idx="188">
                  <c:v>0.11886120287672886</c:v>
                </c:pt>
                <c:pt idx="189">
                  <c:v>0.35114242636900683</c:v>
                </c:pt>
                <c:pt idx="190">
                  <c:v>-0.70514389684757695</c:v>
                </c:pt>
                <c:pt idx="191">
                  <c:v>-9.577468395450528E-2</c:v>
                </c:pt>
                <c:pt idx="192">
                  <c:v>-0.12087422822605642</c:v>
                </c:pt>
                <c:pt idx="193">
                  <c:v>0.27993892285574384</c:v>
                </c:pt>
                <c:pt idx="194">
                  <c:v>0.48278919154270739</c:v>
                </c:pt>
                <c:pt idx="195">
                  <c:v>-4.8790164169431938E-2</c:v>
                </c:pt>
                <c:pt idx="196">
                  <c:v>-0.22705745063534621</c:v>
                </c:pt>
                <c:pt idx="197">
                  <c:v>0.84729786038720367</c:v>
                </c:pt>
                <c:pt idx="198">
                  <c:v>0.13394814612086503</c:v>
                </c:pt>
                <c:pt idx="199">
                  <c:v>1.7601752006335958E-2</c:v>
                </c:pt>
                <c:pt idx="200">
                  <c:v>6.0790460763821552E-3</c:v>
                </c:pt>
                <c:pt idx="201">
                  <c:v>-2.7069321968218041E-2</c:v>
                </c:pt>
                <c:pt idx="202">
                  <c:v>6.4340716765449557E-2</c:v>
                </c:pt>
                <c:pt idx="203">
                  <c:v>-7.9068523475692987E-2</c:v>
                </c:pt>
                <c:pt idx="204">
                  <c:v>1.7699577099400954E-2</c:v>
                </c:pt>
                <c:pt idx="205">
                  <c:v>-3.5091319811270116E-2</c:v>
                </c:pt>
                <c:pt idx="206">
                  <c:v>-5.7306747089850285E-3</c:v>
                </c:pt>
                <c:pt idx="207">
                  <c:v>-7.6961041136128339E-2</c:v>
                </c:pt>
                <c:pt idx="208">
                  <c:v>-7.1458963982144907E-2</c:v>
                </c:pt>
                <c:pt idx="209">
                  <c:v>0.12582017320103223</c:v>
                </c:pt>
                <c:pt idx="210">
                  <c:v>-0.37329582517477267</c:v>
                </c:pt>
                <c:pt idx="211">
                  <c:v>-0.12629372532429206</c:v>
                </c:pt>
                <c:pt idx="212">
                  <c:v>-0.89227585567028123</c:v>
                </c:pt>
                <c:pt idx="213">
                  <c:v>0</c:v>
                </c:pt>
                <c:pt idx="214">
                  <c:v>2.8170876966696401E-2</c:v>
                </c:pt>
                <c:pt idx="215">
                  <c:v>-1.4184634991956546E-2</c:v>
                </c:pt>
                <c:pt idx="216">
                  <c:v>-1.3986241974739855E-2</c:v>
                </c:pt>
                <c:pt idx="217">
                  <c:v>1.3986241974739855E-2</c:v>
                </c:pt>
                <c:pt idx="218">
                  <c:v>-3.4605529177475391E-2</c:v>
                </c:pt>
                <c:pt idx="219">
                  <c:v>4.8790164169431938E-2</c:v>
                </c:pt>
                <c:pt idx="220">
                  <c:v>0.84729786038720345</c:v>
                </c:pt>
                <c:pt idx="221">
                  <c:v>-0.98082925301172597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-0.17185025692665956</c:v>
                </c:pt>
                <c:pt idx="231">
                  <c:v>0.16561970717602303</c:v>
                </c:pt>
                <c:pt idx="232">
                  <c:v>6.2305497506365271E-3</c:v>
                </c:pt>
                <c:pt idx="233">
                  <c:v>-2.4692612590371699E-2</c:v>
                </c:pt>
                <c:pt idx="234">
                  <c:v>9.8040000966208574E-3</c:v>
                </c:pt>
                <c:pt idx="235">
                  <c:v>2.4660924951933616E-3</c:v>
                </c:pt>
                <c:pt idx="236">
                  <c:v>0</c:v>
                </c:pt>
                <c:pt idx="237">
                  <c:v>2.4721891453891587E-3</c:v>
                </c:pt>
                <c:pt idx="238">
                  <c:v>-2.4451095864164163E-2</c:v>
                </c:pt>
                <c:pt idx="239">
                  <c:v>2.1978906718775004E-2</c:v>
                </c:pt>
                <c:pt idx="240">
                  <c:v>1.242251999855748E-2</c:v>
                </c:pt>
                <c:pt idx="241">
                  <c:v>-6.062462181643502E-2</c:v>
                </c:pt>
                <c:pt idx="242">
                  <c:v>0</c:v>
                </c:pt>
                <c:pt idx="243">
                  <c:v>5.937540241600292E-2</c:v>
                </c:pt>
                <c:pt idx="244">
                  <c:v>-0.10311079592381089</c:v>
                </c:pt>
                <c:pt idx="245">
                  <c:v>0.19729801098351185</c:v>
                </c:pt>
                <c:pt idx="246">
                  <c:v>0.13020555565494063</c:v>
                </c:pt>
                <c:pt idx="247">
                  <c:v>0.46750674904714851</c:v>
                </c:pt>
                <c:pt idx="248">
                  <c:v>-0.49827840771390197</c:v>
                </c:pt>
                <c:pt idx="249">
                  <c:v>3.8614836127779606E-2</c:v>
                </c:pt>
                <c:pt idx="2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CD-B840-A0DE-4D93BDA6E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343232"/>
        <c:axId val="74977216"/>
      </c:lineChart>
      <c:catAx>
        <c:axId val="10734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77216"/>
        <c:crosses val="autoZero"/>
        <c:auto val="1"/>
        <c:lblAlgn val="ctr"/>
        <c:lblOffset val="100"/>
        <c:noMultiLvlLbl val="0"/>
      </c:catAx>
      <c:valAx>
        <c:axId val="749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4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Closing Price/Simulation</a:t>
            </a:r>
            <a:r>
              <a:rPr lang="en-GB" baseline="0"/>
              <a:t> Value Plot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Morgan!$C$1:$C$2</c:f>
              <c:strCache>
                <c:ptCount val="2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Morgan!$B$3:$B$255</c:f>
              <c:strCache>
                <c:ptCount val="252"/>
                <c:pt idx="0">
                  <c:v>Date</c:v>
                </c:pt>
                <c:pt idx="1">
                  <c:v>03/18/2026</c:v>
                </c:pt>
                <c:pt idx="2">
                  <c:v>03/17/2026</c:v>
                </c:pt>
                <c:pt idx="3">
                  <c:v>03/16/2026</c:v>
                </c:pt>
                <c:pt idx="4">
                  <c:v>03/13/2026</c:v>
                </c:pt>
                <c:pt idx="5">
                  <c:v>03/12/2026</c:v>
                </c:pt>
                <c:pt idx="6">
                  <c:v>03/11/2026</c:v>
                </c:pt>
                <c:pt idx="7">
                  <c:v>03/10/2026</c:v>
                </c:pt>
                <c:pt idx="8">
                  <c:v>03/09/2026</c:v>
                </c:pt>
                <c:pt idx="9">
                  <c:v>03/06/2026</c:v>
                </c:pt>
                <c:pt idx="10">
                  <c:v>03/05/2026</c:v>
                </c:pt>
                <c:pt idx="11">
                  <c:v>03/04/2026</c:v>
                </c:pt>
                <c:pt idx="12">
                  <c:v>03/03/2026</c:v>
                </c:pt>
                <c:pt idx="13">
                  <c:v>03/02/2026</c:v>
                </c:pt>
                <c:pt idx="14">
                  <c:v>02/27/2026</c:v>
                </c:pt>
                <c:pt idx="15">
                  <c:v>02/26/2026</c:v>
                </c:pt>
                <c:pt idx="16">
                  <c:v>02/25/2026</c:v>
                </c:pt>
                <c:pt idx="17">
                  <c:v>02/24/2026</c:v>
                </c:pt>
                <c:pt idx="18">
                  <c:v>02/23/2026</c:v>
                </c:pt>
                <c:pt idx="19">
                  <c:v>02/20/2026</c:v>
                </c:pt>
                <c:pt idx="20">
                  <c:v>02/19/2026</c:v>
                </c:pt>
                <c:pt idx="21">
                  <c:v>02/18/2026</c:v>
                </c:pt>
                <c:pt idx="22">
                  <c:v>02/17/2026</c:v>
                </c:pt>
                <c:pt idx="23">
                  <c:v>02/13/2026</c:v>
                </c:pt>
                <c:pt idx="24">
                  <c:v>02/12/2026</c:v>
                </c:pt>
                <c:pt idx="25">
                  <c:v>02/11/2026</c:v>
                </c:pt>
                <c:pt idx="26">
                  <c:v>02/10/2026</c:v>
                </c:pt>
                <c:pt idx="27">
                  <c:v>02/09/2026</c:v>
                </c:pt>
                <c:pt idx="28">
                  <c:v>02/06/2026</c:v>
                </c:pt>
                <c:pt idx="29">
                  <c:v>02/05/2026</c:v>
                </c:pt>
                <c:pt idx="30">
                  <c:v>02/04/2026</c:v>
                </c:pt>
                <c:pt idx="31">
                  <c:v>02/03/2026</c:v>
                </c:pt>
                <c:pt idx="32">
                  <c:v>02/02/2026</c:v>
                </c:pt>
                <c:pt idx="33">
                  <c:v>01/30/2026</c:v>
                </c:pt>
                <c:pt idx="34">
                  <c:v>01/29/2026</c:v>
                </c:pt>
                <c:pt idx="35">
                  <c:v>01/28/2026</c:v>
                </c:pt>
                <c:pt idx="36">
                  <c:v>01/27/2026</c:v>
                </c:pt>
                <c:pt idx="37">
                  <c:v>01/26/2026</c:v>
                </c:pt>
                <c:pt idx="38">
                  <c:v>01/23/2026</c:v>
                </c:pt>
                <c:pt idx="39">
                  <c:v>01/22/2026</c:v>
                </c:pt>
                <c:pt idx="40">
                  <c:v>01/21/2026</c:v>
                </c:pt>
                <c:pt idx="41">
                  <c:v>01/20/2026</c:v>
                </c:pt>
                <c:pt idx="42">
                  <c:v>01/16/2026</c:v>
                </c:pt>
                <c:pt idx="43">
                  <c:v>01/15/2026</c:v>
                </c:pt>
                <c:pt idx="44">
                  <c:v>01/14/2026</c:v>
                </c:pt>
                <c:pt idx="45">
                  <c:v>01/13/2026</c:v>
                </c:pt>
                <c:pt idx="46">
                  <c:v>01/12/2026</c:v>
                </c:pt>
                <c:pt idx="47">
                  <c:v>01/09/2026</c:v>
                </c:pt>
                <c:pt idx="48">
                  <c:v>01/08/2026</c:v>
                </c:pt>
                <c:pt idx="49">
                  <c:v>01/07/2026</c:v>
                </c:pt>
                <c:pt idx="50">
                  <c:v>01/06/2026</c:v>
                </c:pt>
                <c:pt idx="51">
                  <c:v>01/05/2026</c:v>
                </c:pt>
                <c:pt idx="52">
                  <c:v>01/02/2026</c:v>
                </c:pt>
                <c:pt idx="53">
                  <c:v>12/31/2025</c:v>
                </c:pt>
                <c:pt idx="54">
                  <c:v>12/30/2025</c:v>
                </c:pt>
                <c:pt idx="55">
                  <c:v>12/29/2025</c:v>
                </c:pt>
                <c:pt idx="56">
                  <c:v>12/26/2025</c:v>
                </c:pt>
                <c:pt idx="57">
                  <c:v>12/24/2025</c:v>
                </c:pt>
                <c:pt idx="58">
                  <c:v>12/23/2025</c:v>
                </c:pt>
                <c:pt idx="59">
                  <c:v>12/22/2025</c:v>
                </c:pt>
                <c:pt idx="60">
                  <c:v>12/19/2025</c:v>
                </c:pt>
                <c:pt idx="61">
                  <c:v>12/18/2025</c:v>
                </c:pt>
                <c:pt idx="62">
                  <c:v>12/17/2025</c:v>
                </c:pt>
                <c:pt idx="63">
                  <c:v>12/16/2025</c:v>
                </c:pt>
                <c:pt idx="64">
                  <c:v>12/15/2025</c:v>
                </c:pt>
                <c:pt idx="65">
                  <c:v>12/12/2025</c:v>
                </c:pt>
                <c:pt idx="66">
                  <c:v>12/11/2025</c:v>
                </c:pt>
                <c:pt idx="67">
                  <c:v>12/10/2025</c:v>
                </c:pt>
                <c:pt idx="68">
                  <c:v>12/09/2025</c:v>
                </c:pt>
                <c:pt idx="69">
                  <c:v>12/08/2025</c:v>
                </c:pt>
                <c:pt idx="70">
                  <c:v>12/05/2025</c:v>
                </c:pt>
                <c:pt idx="71">
                  <c:v>12/04/2025</c:v>
                </c:pt>
                <c:pt idx="72">
                  <c:v>12/03/2025</c:v>
                </c:pt>
                <c:pt idx="73">
                  <c:v>12/02/2025</c:v>
                </c:pt>
                <c:pt idx="74">
                  <c:v>12/01/2025</c:v>
                </c:pt>
                <c:pt idx="75">
                  <c:v>11/28/2025</c:v>
                </c:pt>
                <c:pt idx="76">
                  <c:v>11/26/2025</c:v>
                </c:pt>
                <c:pt idx="77">
                  <c:v>11/25/2025</c:v>
                </c:pt>
                <c:pt idx="78">
                  <c:v>11/24/2025</c:v>
                </c:pt>
                <c:pt idx="79">
                  <c:v>11/21/2025</c:v>
                </c:pt>
                <c:pt idx="80">
                  <c:v>11/20/2025</c:v>
                </c:pt>
                <c:pt idx="81">
                  <c:v>11/19/2025</c:v>
                </c:pt>
                <c:pt idx="82">
                  <c:v>11/18/2025</c:v>
                </c:pt>
                <c:pt idx="83">
                  <c:v>11/17/2025</c:v>
                </c:pt>
                <c:pt idx="84">
                  <c:v>11/14/2025</c:v>
                </c:pt>
                <c:pt idx="85">
                  <c:v>11/13/2025</c:v>
                </c:pt>
                <c:pt idx="86">
                  <c:v>11/12/2025</c:v>
                </c:pt>
                <c:pt idx="87">
                  <c:v>11/11/2025</c:v>
                </c:pt>
                <c:pt idx="88">
                  <c:v>11/10/2025</c:v>
                </c:pt>
                <c:pt idx="89">
                  <c:v>11/07/2025</c:v>
                </c:pt>
                <c:pt idx="90">
                  <c:v>11/06/2025</c:v>
                </c:pt>
                <c:pt idx="91">
                  <c:v>11/05/2025</c:v>
                </c:pt>
                <c:pt idx="92">
                  <c:v>11/04/2025</c:v>
                </c:pt>
                <c:pt idx="93">
                  <c:v>11/03/2025</c:v>
                </c:pt>
                <c:pt idx="94">
                  <c:v>10/31/2025</c:v>
                </c:pt>
                <c:pt idx="95">
                  <c:v>10/30/2025</c:v>
                </c:pt>
                <c:pt idx="96">
                  <c:v>10/29/2025</c:v>
                </c:pt>
                <c:pt idx="97">
                  <c:v>10/28/2025</c:v>
                </c:pt>
                <c:pt idx="98">
                  <c:v>10/27/2025</c:v>
                </c:pt>
                <c:pt idx="99">
                  <c:v>10/24/2025</c:v>
                </c:pt>
                <c:pt idx="100">
                  <c:v>10/23/2025</c:v>
                </c:pt>
                <c:pt idx="101">
                  <c:v>10/22/2025</c:v>
                </c:pt>
                <c:pt idx="102">
                  <c:v>10/21/2025</c:v>
                </c:pt>
                <c:pt idx="103">
                  <c:v>10/20/2025</c:v>
                </c:pt>
                <c:pt idx="104">
                  <c:v>10/17/2025</c:v>
                </c:pt>
                <c:pt idx="105">
                  <c:v>10/16/2025</c:v>
                </c:pt>
                <c:pt idx="106">
                  <c:v>10/15/2025</c:v>
                </c:pt>
                <c:pt idx="107">
                  <c:v>10/14/2025</c:v>
                </c:pt>
                <c:pt idx="108">
                  <c:v>10/13/2025</c:v>
                </c:pt>
                <c:pt idx="109">
                  <c:v>10/10/2025</c:v>
                </c:pt>
                <c:pt idx="110">
                  <c:v>10/09/2025</c:v>
                </c:pt>
                <c:pt idx="111">
                  <c:v>10/08/2025</c:v>
                </c:pt>
                <c:pt idx="112">
                  <c:v>10/07/2025</c:v>
                </c:pt>
                <c:pt idx="113">
                  <c:v>10/06/2025</c:v>
                </c:pt>
                <c:pt idx="114">
                  <c:v>10/03/2025</c:v>
                </c:pt>
                <c:pt idx="115">
                  <c:v>10/02/2025</c:v>
                </c:pt>
                <c:pt idx="116">
                  <c:v>10/01/2025</c:v>
                </c:pt>
                <c:pt idx="117">
                  <c:v>09/30/2025</c:v>
                </c:pt>
                <c:pt idx="118">
                  <c:v>09/29/2025</c:v>
                </c:pt>
                <c:pt idx="119">
                  <c:v>09/26/2025</c:v>
                </c:pt>
                <c:pt idx="120">
                  <c:v>09/25/2025</c:v>
                </c:pt>
                <c:pt idx="121">
                  <c:v>09/24/2025</c:v>
                </c:pt>
                <c:pt idx="122">
                  <c:v>09/23/2025</c:v>
                </c:pt>
                <c:pt idx="123">
                  <c:v>09/22/2025</c:v>
                </c:pt>
                <c:pt idx="124">
                  <c:v>09/19/2025</c:v>
                </c:pt>
                <c:pt idx="125">
                  <c:v>09/18/2025</c:v>
                </c:pt>
                <c:pt idx="126">
                  <c:v>09/17/2025</c:v>
                </c:pt>
                <c:pt idx="127">
                  <c:v>09/16/2025</c:v>
                </c:pt>
                <c:pt idx="128">
                  <c:v>09/15/2025</c:v>
                </c:pt>
                <c:pt idx="129">
                  <c:v>09/12/2025</c:v>
                </c:pt>
                <c:pt idx="130">
                  <c:v>09/11/2025</c:v>
                </c:pt>
                <c:pt idx="131">
                  <c:v>09/10/2025</c:v>
                </c:pt>
                <c:pt idx="132">
                  <c:v>09/09/2025</c:v>
                </c:pt>
                <c:pt idx="133">
                  <c:v>09/08/2025</c:v>
                </c:pt>
                <c:pt idx="134">
                  <c:v>09/05/2025</c:v>
                </c:pt>
                <c:pt idx="135">
                  <c:v>09/04/2025</c:v>
                </c:pt>
                <c:pt idx="136">
                  <c:v>09/03/2025</c:v>
                </c:pt>
                <c:pt idx="137">
                  <c:v>09/02/2025</c:v>
                </c:pt>
                <c:pt idx="138">
                  <c:v>08/29/2025</c:v>
                </c:pt>
                <c:pt idx="139">
                  <c:v>08/28/2025</c:v>
                </c:pt>
                <c:pt idx="140">
                  <c:v>08/27/2025</c:v>
                </c:pt>
                <c:pt idx="141">
                  <c:v>08/26/2025</c:v>
                </c:pt>
                <c:pt idx="142">
                  <c:v>08/25/2025</c:v>
                </c:pt>
                <c:pt idx="143">
                  <c:v>08/22/2025</c:v>
                </c:pt>
                <c:pt idx="144">
                  <c:v>08/21/2025</c:v>
                </c:pt>
                <c:pt idx="145">
                  <c:v>08/20/2025</c:v>
                </c:pt>
                <c:pt idx="146">
                  <c:v>08/19/2025</c:v>
                </c:pt>
                <c:pt idx="147">
                  <c:v>08/18/2025</c:v>
                </c:pt>
                <c:pt idx="148">
                  <c:v>08/15/2025</c:v>
                </c:pt>
                <c:pt idx="149">
                  <c:v>08/14/2025</c:v>
                </c:pt>
                <c:pt idx="150">
                  <c:v>08/13/2025</c:v>
                </c:pt>
                <c:pt idx="151">
                  <c:v>08/12/2025</c:v>
                </c:pt>
                <c:pt idx="152">
                  <c:v>08/11/2025</c:v>
                </c:pt>
                <c:pt idx="153">
                  <c:v>08/08/2025</c:v>
                </c:pt>
                <c:pt idx="154">
                  <c:v>08/07/2025</c:v>
                </c:pt>
                <c:pt idx="155">
                  <c:v>08/06/2025</c:v>
                </c:pt>
                <c:pt idx="156">
                  <c:v>08/05/2025</c:v>
                </c:pt>
                <c:pt idx="157">
                  <c:v>08/04/2025</c:v>
                </c:pt>
                <c:pt idx="158">
                  <c:v>08/01/2025</c:v>
                </c:pt>
                <c:pt idx="159">
                  <c:v>07/31/2025</c:v>
                </c:pt>
                <c:pt idx="160">
                  <c:v>07/30/2025</c:v>
                </c:pt>
                <c:pt idx="161">
                  <c:v>07/29/2025</c:v>
                </c:pt>
                <c:pt idx="162">
                  <c:v>07/28/2025</c:v>
                </c:pt>
                <c:pt idx="163">
                  <c:v>07/25/2025</c:v>
                </c:pt>
                <c:pt idx="164">
                  <c:v>07/24/2025</c:v>
                </c:pt>
                <c:pt idx="165">
                  <c:v>07/23/2025</c:v>
                </c:pt>
                <c:pt idx="166">
                  <c:v>07/22/2025</c:v>
                </c:pt>
                <c:pt idx="167">
                  <c:v>07/21/2025</c:v>
                </c:pt>
                <c:pt idx="168">
                  <c:v>07/18/2025</c:v>
                </c:pt>
                <c:pt idx="169">
                  <c:v>07/17/2025</c:v>
                </c:pt>
                <c:pt idx="170">
                  <c:v>07/16/2025</c:v>
                </c:pt>
                <c:pt idx="171">
                  <c:v>07/15/2025</c:v>
                </c:pt>
                <c:pt idx="172">
                  <c:v>07/14/2025</c:v>
                </c:pt>
                <c:pt idx="173">
                  <c:v>07/11/2025</c:v>
                </c:pt>
                <c:pt idx="174">
                  <c:v>07/10/2025</c:v>
                </c:pt>
                <c:pt idx="175">
                  <c:v>07/09/2025</c:v>
                </c:pt>
                <c:pt idx="176">
                  <c:v>07/08/2025</c:v>
                </c:pt>
                <c:pt idx="177">
                  <c:v>07/07/2025</c:v>
                </c:pt>
                <c:pt idx="178">
                  <c:v>07/03/2025</c:v>
                </c:pt>
                <c:pt idx="179">
                  <c:v>07/02/2025</c:v>
                </c:pt>
                <c:pt idx="180">
                  <c:v>07/01/2025</c:v>
                </c:pt>
                <c:pt idx="181">
                  <c:v>06/30/2025</c:v>
                </c:pt>
                <c:pt idx="182">
                  <c:v>06/27/2025</c:v>
                </c:pt>
                <c:pt idx="183">
                  <c:v>06/26/2025</c:v>
                </c:pt>
                <c:pt idx="184">
                  <c:v>06/25/2025</c:v>
                </c:pt>
                <c:pt idx="185">
                  <c:v>06/24/2025</c:v>
                </c:pt>
                <c:pt idx="186">
                  <c:v>06/23/2025</c:v>
                </c:pt>
                <c:pt idx="187">
                  <c:v>06/20/2025</c:v>
                </c:pt>
                <c:pt idx="188">
                  <c:v>06/18/2025</c:v>
                </c:pt>
                <c:pt idx="189">
                  <c:v>06/17/2025</c:v>
                </c:pt>
                <c:pt idx="190">
                  <c:v>06/16/2025</c:v>
                </c:pt>
                <c:pt idx="191">
                  <c:v>06/13/2025</c:v>
                </c:pt>
                <c:pt idx="192">
                  <c:v>06/12/2025</c:v>
                </c:pt>
                <c:pt idx="193">
                  <c:v>06/11/2025</c:v>
                </c:pt>
                <c:pt idx="194">
                  <c:v>06/10/2025</c:v>
                </c:pt>
                <c:pt idx="195">
                  <c:v>06/09/2025</c:v>
                </c:pt>
                <c:pt idx="196">
                  <c:v>06/06/2025</c:v>
                </c:pt>
                <c:pt idx="197">
                  <c:v>06/05/2025</c:v>
                </c:pt>
                <c:pt idx="198">
                  <c:v>06/04/2025</c:v>
                </c:pt>
                <c:pt idx="199">
                  <c:v>06/03/2025</c:v>
                </c:pt>
                <c:pt idx="200">
                  <c:v>06/02/2025</c:v>
                </c:pt>
                <c:pt idx="201">
                  <c:v>05/30/2025</c:v>
                </c:pt>
                <c:pt idx="202">
                  <c:v>05/29/2025</c:v>
                </c:pt>
                <c:pt idx="203">
                  <c:v>05/28/2025</c:v>
                </c:pt>
                <c:pt idx="204">
                  <c:v>05/27/2025</c:v>
                </c:pt>
                <c:pt idx="205">
                  <c:v>05/23/2025</c:v>
                </c:pt>
                <c:pt idx="206">
                  <c:v>05/22/2025</c:v>
                </c:pt>
                <c:pt idx="207">
                  <c:v>05/21/2025</c:v>
                </c:pt>
                <c:pt idx="208">
                  <c:v>05/20/2025</c:v>
                </c:pt>
                <c:pt idx="209">
                  <c:v>05/19/2025</c:v>
                </c:pt>
                <c:pt idx="210">
                  <c:v>05/16/2025</c:v>
                </c:pt>
                <c:pt idx="211">
                  <c:v>05/15/2025</c:v>
                </c:pt>
                <c:pt idx="212">
                  <c:v>05/14/2025</c:v>
                </c:pt>
                <c:pt idx="213">
                  <c:v>05/13/2025</c:v>
                </c:pt>
                <c:pt idx="214">
                  <c:v>05/12/2025</c:v>
                </c:pt>
                <c:pt idx="215">
                  <c:v>05/09/2025</c:v>
                </c:pt>
                <c:pt idx="216">
                  <c:v>05/08/2025</c:v>
                </c:pt>
                <c:pt idx="217">
                  <c:v>05/07/2025</c:v>
                </c:pt>
                <c:pt idx="218">
                  <c:v>05/06/2025</c:v>
                </c:pt>
                <c:pt idx="219">
                  <c:v>05/05/2025</c:v>
                </c:pt>
                <c:pt idx="220">
                  <c:v>05/02/2025</c:v>
                </c:pt>
                <c:pt idx="221">
                  <c:v>05/01/2025</c:v>
                </c:pt>
                <c:pt idx="222">
                  <c:v>04/30/2025</c:v>
                </c:pt>
                <c:pt idx="223">
                  <c:v>04/29/2025</c:v>
                </c:pt>
                <c:pt idx="224">
                  <c:v>04/28/2025</c:v>
                </c:pt>
                <c:pt idx="225">
                  <c:v>04/25/2025</c:v>
                </c:pt>
                <c:pt idx="226">
                  <c:v>04/24/2025</c:v>
                </c:pt>
                <c:pt idx="227">
                  <c:v>04/23/2025</c:v>
                </c:pt>
                <c:pt idx="228">
                  <c:v>04/22/2025</c:v>
                </c:pt>
                <c:pt idx="229">
                  <c:v>04/21/2025</c:v>
                </c:pt>
                <c:pt idx="230">
                  <c:v>04/17/2025</c:v>
                </c:pt>
                <c:pt idx="231">
                  <c:v>04/16/2025</c:v>
                </c:pt>
                <c:pt idx="232">
                  <c:v>04/15/2025</c:v>
                </c:pt>
                <c:pt idx="233">
                  <c:v>04/14/2025</c:v>
                </c:pt>
                <c:pt idx="234">
                  <c:v>04/11/2025</c:v>
                </c:pt>
                <c:pt idx="235">
                  <c:v>04/10/2025</c:v>
                </c:pt>
                <c:pt idx="236">
                  <c:v>04/09/2025</c:v>
                </c:pt>
                <c:pt idx="237">
                  <c:v>04/08/2025</c:v>
                </c:pt>
                <c:pt idx="238">
                  <c:v>04/07/2025</c:v>
                </c:pt>
                <c:pt idx="239">
                  <c:v>04/04/2025</c:v>
                </c:pt>
                <c:pt idx="240">
                  <c:v>04/03/2025</c:v>
                </c:pt>
                <c:pt idx="241">
                  <c:v>04/02/2025</c:v>
                </c:pt>
                <c:pt idx="242">
                  <c:v>04/01/2025</c:v>
                </c:pt>
                <c:pt idx="243">
                  <c:v>03/31/2025</c:v>
                </c:pt>
                <c:pt idx="244">
                  <c:v>03/28/2025</c:v>
                </c:pt>
                <c:pt idx="245">
                  <c:v>03/27/2025</c:v>
                </c:pt>
                <c:pt idx="246">
                  <c:v>03/26/2025</c:v>
                </c:pt>
                <c:pt idx="247">
                  <c:v>03/25/2025</c:v>
                </c:pt>
                <c:pt idx="248">
                  <c:v>03/24/2025</c:v>
                </c:pt>
                <c:pt idx="249">
                  <c:v>03/21/2025</c:v>
                </c:pt>
                <c:pt idx="250">
                  <c:v>03/20/2025</c:v>
                </c:pt>
                <c:pt idx="251">
                  <c:v>03/19/2025</c:v>
                </c:pt>
              </c:strCache>
            </c:strRef>
          </c:cat>
          <c:val>
            <c:numRef>
              <c:f>Morgan!$C$3:$C$255</c:f>
              <c:numCache>
                <c:formatCode>General</c:formatCode>
                <c:ptCount val="253"/>
                <c:pt idx="0">
                  <c:v>0</c:v>
                </c:pt>
                <c:pt idx="1">
                  <c:v>615.67999999999995</c:v>
                </c:pt>
                <c:pt idx="2">
                  <c:v>622.66</c:v>
                </c:pt>
                <c:pt idx="3">
                  <c:v>627.45000000000005</c:v>
                </c:pt>
                <c:pt idx="4">
                  <c:v>613.71</c:v>
                </c:pt>
                <c:pt idx="5">
                  <c:v>638.17999999999995</c:v>
                </c:pt>
                <c:pt idx="6">
                  <c:v>654.86</c:v>
                </c:pt>
                <c:pt idx="7">
                  <c:v>654.07000000000005</c:v>
                </c:pt>
                <c:pt idx="8">
                  <c:v>647.39</c:v>
                </c:pt>
                <c:pt idx="9">
                  <c:v>644.86</c:v>
                </c:pt>
                <c:pt idx="10">
                  <c:v>660.57</c:v>
                </c:pt>
                <c:pt idx="11">
                  <c:v>667.73</c:v>
                </c:pt>
                <c:pt idx="12">
                  <c:v>655.08000000000004</c:v>
                </c:pt>
                <c:pt idx="13">
                  <c:v>653.55999999999995</c:v>
                </c:pt>
                <c:pt idx="14">
                  <c:v>648.17999999999995</c:v>
                </c:pt>
                <c:pt idx="15">
                  <c:v>657.01</c:v>
                </c:pt>
                <c:pt idx="16">
                  <c:v>653.69000000000005</c:v>
                </c:pt>
                <c:pt idx="17">
                  <c:v>639.29999999999995</c:v>
                </c:pt>
                <c:pt idx="18">
                  <c:v>637.25</c:v>
                </c:pt>
                <c:pt idx="19">
                  <c:v>655.66</c:v>
                </c:pt>
                <c:pt idx="20">
                  <c:v>644.78</c:v>
                </c:pt>
                <c:pt idx="21">
                  <c:v>643.22</c:v>
                </c:pt>
                <c:pt idx="22">
                  <c:v>639.29</c:v>
                </c:pt>
                <c:pt idx="23">
                  <c:v>639.77</c:v>
                </c:pt>
                <c:pt idx="24">
                  <c:v>649.80999999999995</c:v>
                </c:pt>
                <c:pt idx="25">
                  <c:v>668.69</c:v>
                </c:pt>
                <c:pt idx="26">
                  <c:v>670.72</c:v>
                </c:pt>
                <c:pt idx="27">
                  <c:v>677.22</c:v>
                </c:pt>
                <c:pt idx="28">
                  <c:v>661.46</c:v>
                </c:pt>
                <c:pt idx="29">
                  <c:v>670.21</c:v>
                </c:pt>
                <c:pt idx="30">
                  <c:v>668.99</c:v>
                </c:pt>
                <c:pt idx="31">
                  <c:v>691.7</c:v>
                </c:pt>
                <c:pt idx="32">
                  <c:v>706.41</c:v>
                </c:pt>
                <c:pt idx="33">
                  <c:v>716.5</c:v>
                </c:pt>
                <c:pt idx="34">
                  <c:v>738.31</c:v>
                </c:pt>
                <c:pt idx="35">
                  <c:v>668.73</c:v>
                </c:pt>
                <c:pt idx="36">
                  <c:v>672.97</c:v>
                </c:pt>
                <c:pt idx="37">
                  <c:v>672.36</c:v>
                </c:pt>
                <c:pt idx="38">
                  <c:v>658.76</c:v>
                </c:pt>
                <c:pt idx="39">
                  <c:v>647.63</c:v>
                </c:pt>
                <c:pt idx="40">
                  <c:v>612.96</c:v>
                </c:pt>
                <c:pt idx="41">
                  <c:v>604.12</c:v>
                </c:pt>
                <c:pt idx="42">
                  <c:v>620.25</c:v>
                </c:pt>
                <c:pt idx="43">
                  <c:v>620.79999999999995</c:v>
                </c:pt>
                <c:pt idx="44">
                  <c:v>615.52</c:v>
                </c:pt>
                <c:pt idx="45">
                  <c:v>631.09</c:v>
                </c:pt>
                <c:pt idx="46">
                  <c:v>641.97</c:v>
                </c:pt>
                <c:pt idx="47">
                  <c:v>653.05999999999995</c:v>
                </c:pt>
                <c:pt idx="48">
                  <c:v>646.05999999999995</c:v>
                </c:pt>
                <c:pt idx="49">
                  <c:v>648.69000000000005</c:v>
                </c:pt>
                <c:pt idx="50">
                  <c:v>660.62</c:v>
                </c:pt>
                <c:pt idx="51">
                  <c:v>658.79</c:v>
                </c:pt>
                <c:pt idx="52">
                  <c:v>650.41</c:v>
                </c:pt>
                <c:pt idx="53">
                  <c:v>660.09</c:v>
                </c:pt>
                <c:pt idx="54">
                  <c:v>665.95</c:v>
                </c:pt>
                <c:pt idx="55">
                  <c:v>658.69</c:v>
                </c:pt>
                <c:pt idx="56">
                  <c:v>663.29</c:v>
                </c:pt>
                <c:pt idx="57">
                  <c:v>667.55</c:v>
                </c:pt>
                <c:pt idx="58">
                  <c:v>664.94</c:v>
                </c:pt>
                <c:pt idx="59">
                  <c:v>661.5</c:v>
                </c:pt>
                <c:pt idx="60">
                  <c:v>658.77</c:v>
                </c:pt>
                <c:pt idx="61">
                  <c:v>664.45</c:v>
                </c:pt>
                <c:pt idx="62">
                  <c:v>649.5</c:v>
                </c:pt>
                <c:pt idx="63">
                  <c:v>657.15</c:v>
                </c:pt>
                <c:pt idx="64">
                  <c:v>647.51</c:v>
                </c:pt>
                <c:pt idx="65">
                  <c:v>644.23</c:v>
                </c:pt>
                <c:pt idx="66">
                  <c:v>652.71</c:v>
                </c:pt>
                <c:pt idx="67">
                  <c:v>650.13</c:v>
                </c:pt>
                <c:pt idx="68">
                  <c:v>656.96</c:v>
                </c:pt>
                <c:pt idx="69">
                  <c:v>666.8</c:v>
                </c:pt>
                <c:pt idx="70">
                  <c:v>673.42</c:v>
                </c:pt>
                <c:pt idx="71">
                  <c:v>661.53</c:v>
                </c:pt>
                <c:pt idx="72">
                  <c:v>639.6</c:v>
                </c:pt>
                <c:pt idx="73">
                  <c:v>647.1</c:v>
                </c:pt>
                <c:pt idx="74">
                  <c:v>640.87</c:v>
                </c:pt>
                <c:pt idx="75">
                  <c:v>647.95000000000005</c:v>
                </c:pt>
                <c:pt idx="76">
                  <c:v>633.61</c:v>
                </c:pt>
                <c:pt idx="77">
                  <c:v>636.22</c:v>
                </c:pt>
                <c:pt idx="78">
                  <c:v>613.04999999999995</c:v>
                </c:pt>
                <c:pt idx="79">
                  <c:v>594.25</c:v>
                </c:pt>
                <c:pt idx="80">
                  <c:v>589.15</c:v>
                </c:pt>
                <c:pt idx="81">
                  <c:v>590.32000000000005</c:v>
                </c:pt>
                <c:pt idx="82">
                  <c:v>597.69000000000005</c:v>
                </c:pt>
                <c:pt idx="83">
                  <c:v>602.01</c:v>
                </c:pt>
                <c:pt idx="84">
                  <c:v>609.46</c:v>
                </c:pt>
                <c:pt idx="85">
                  <c:v>609.89</c:v>
                </c:pt>
                <c:pt idx="86">
                  <c:v>609.01</c:v>
                </c:pt>
                <c:pt idx="87">
                  <c:v>627.08000000000004</c:v>
                </c:pt>
                <c:pt idx="88">
                  <c:v>631.76</c:v>
                </c:pt>
                <c:pt idx="89">
                  <c:v>621.71</c:v>
                </c:pt>
                <c:pt idx="90">
                  <c:v>618.94000000000005</c:v>
                </c:pt>
                <c:pt idx="91">
                  <c:v>635.95000000000005</c:v>
                </c:pt>
                <c:pt idx="92">
                  <c:v>627.32000000000005</c:v>
                </c:pt>
                <c:pt idx="93">
                  <c:v>637.71</c:v>
                </c:pt>
                <c:pt idx="94">
                  <c:v>648.35</c:v>
                </c:pt>
                <c:pt idx="95">
                  <c:v>666.47</c:v>
                </c:pt>
                <c:pt idx="96">
                  <c:v>751.67</c:v>
                </c:pt>
                <c:pt idx="97">
                  <c:v>751.44</c:v>
                </c:pt>
                <c:pt idx="98">
                  <c:v>750.82</c:v>
                </c:pt>
                <c:pt idx="99">
                  <c:v>738.36</c:v>
                </c:pt>
                <c:pt idx="100">
                  <c:v>734</c:v>
                </c:pt>
                <c:pt idx="101">
                  <c:v>733.41</c:v>
                </c:pt>
                <c:pt idx="102">
                  <c:v>733.27</c:v>
                </c:pt>
                <c:pt idx="103">
                  <c:v>732.17</c:v>
                </c:pt>
                <c:pt idx="104">
                  <c:v>716.91499999999996</c:v>
                </c:pt>
                <c:pt idx="105">
                  <c:v>712.07</c:v>
                </c:pt>
                <c:pt idx="106">
                  <c:v>717.55</c:v>
                </c:pt>
                <c:pt idx="107">
                  <c:v>708.65</c:v>
                </c:pt>
                <c:pt idx="108">
                  <c:v>715.7</c:v>
                </c:pt>
                <c:pt idx="109">
                  <c:v>705.3</c:v>
                </c:pt>
                <c:pt idx="110">
                  <c:v>733.51</c:v>
                </c:pt>
                <c:pt idx="111">
                  <c:v>717.84</c:v>
                </c:pt>
                <c:pt idx="112">
                  <c:v>713.08</c:v>
                </c:pt>
                <c:pt idx="113">
                  <c:v>715.66</c:v>
                </c:pt>
                <c:pt idx="114">
                  <c:v>710.56</c:v>
                </c:pt>
                <c:pt idx="115">
                  <c:v>727.05</c:v>
                </c:pt>
                <c:pt idx="116">
                  <c:v>717.34</c:v>
                </c:pt>
                <c:pt idx="117">
                  <c:v>734.38</c:v>
                </c:pt>
                <c:pt idx="118">
                  <c:v>743.4</c:v>
                </c:pt>
                <c:pt idx="119">
                  <c:v>743.75</c:v>
                </c:pt>
                <c:pt idx="120">
                  <c:v>748.91</c:v>
                </c:pt>
                <c:pt idx="121">
                  <c:v>760.66</c:v>
                </c:pt>
                <c:pt idx="122">
                  <c:v>755.4</c:v>
                </c:pt>
                <c:pt idx="123">
                  <c:v>765.16</c:v>
                </c:pt>
                <c:pt idx="124">
                  <c:v>778.38</c:v>
                </c:pt>
                <c:pt idx="125">
                  <c:v>780.25</c:v>
                </c:pt>
                <c:pt idx="126">
                  <c:v>775.71500000000003</c:v>
                </c:pt>
                <c:pt idx="127">
                  <c:v>779</c:v>
                </c:pt>
                <c:pt idx="128">
                  <c:v>764.7</c:v>
                </c:pt>
                <c:pt idx="129">
                  <c:v>755.59</c:v>
                </c:pt>
                <c:pt idx="130">
                  <c:v>750.9</c:v>
                </c:pt>
                <c:pt idx="131">
                  <c:v>751.98</c:v>
                </c:pt>
                <c:pt idx="132">
                  <c:v>765.7</c:v>
                </c:pt>
                <c:pt idx="133">
                  <c:v>752.3</c:v>
                </c:pt>
                <c:pt idx="134">
                  <c:v>752.45</c:v>
                </c:pt>
                <c:pt idx="135">
                  <c:v>748.65</c:v>
                </c:pt>
                <c:pt idx="136">
                  <c:v>737.05</c:v>
                </c:pt>
                <c:pt idx="137">
                  <c:v>735.11</c:v>
                </c:pt>
                <c:pt idx="138">
                  <c:v>738.7</c:v>
                </c:pt>
                <c:pt idx="139">
                  <c:v>751.11</c:v>
                </c:pt>
                <c:pt idx="140">
                  <c:v>747.38</c:v>
                </c:pt>
                <c:pt idx="141">
                  <c:v>754.1</c:v>
                </c:pt>
                <c:pt idx="142">
                  <c:v>753.3</c:v>
                </c:pt>
                <c:pt idx="143">
                  <c:v>754.79</c:v>
                </c:pt>
                <c:pt idx="144">
                  <c:v>739.1</c:v>
                </c:pt>
                <c:pt idx="145">
                  <c:v>747.72</c:v>
                </c:pt>
                <c:pt idx="146">
                  <c:v>751.48</c:v>
                </c:pt>
                <c:pt idx="147">
                  <c:v>767.37</c:v>
                </c:pt>
                <c:pt idx="148">
                  <c:v>785.23</c:v>
                </c:pt>
                <c:pt idx="149">
                  <c:v>782.13</c:v>
                </c:pt>
                <c:pt idx="150">
                  <c:v>780.08</c:v>
                </c:pt>
                <c:pt idx="151">
                  <c:v>790</c:v>
                </c:pt>
                <c:pt idx="152">
                  <c:v>765.87</c:v>
                </c:pt>
                <c:pt idx="153">
                  <c:v>769.3</c:v>
                </c:pt>
                <c:pt idx="154">
                  <c:v>761.83</c:v>
                </c:pt>
                <c:pt idx="155">
                  <c:v>771.99</c:v>
                </c:pt>
                <c:pt idx="156">
                  <c:v>763.46</c:v>
                </c:pt>
                <c:pt idx="157">
                  <c:v>776.37</c:v>
                </c:pt>
                <c:pt idx="158">
                  <c:v>750.01</c:v>
                </c:pt>
                <c:pt idx="159">
                  <c:v>773.44</c:v>
                </c:pt>
                <c:pt idx="160">
                  <c:v>695.21</c:v>
                </c:pt>
                <c:pt idx="161">
                  <c:v>700</c:v>
                </c:pt>
                <c:pt idx="162">
                  <c:v>717.63</c:v>
                </c:pt>
                <c:pt idx="163">
                  <c:v>712.68</c:v>
                </c:pt>
                <c:pt idx="164">
                  <c:v>714.8</c:v>
                </c:pt>
                <c:pt idx="165">
                  <c:v>713.58</c:v>
                </c:pt>
                <c:pt idx="166">
                  <c:v>704.81</c:v>
                </c:pt>
                <c:pt idx="167">
                  <c:v>712.96500000000003</c:v>
                </c:pt>
                <c:pt idx="168">
                  <c:v>704.28</c:v>
                </c:pt>
                <c:pt idx="169">
                  <c:v>701.41</c:v>
                </c:pt>
                <c:pt idx="170">
                  <c:v>702.91</c:v>
                </c:pt>
                <c:pt idx="171">
                  <c:v>710.39</c:v>
                </c:pt>
                <c:pt idx="172">
                  <c:v>720.92</c:v>
                </c:pt>
                <c:pt idx="173">
                  <c:v>717.51</c:v>
                </c:pt>
                <c:pt idx="174">
                  <c:v>727.24</c:v>
                </c:pt>
                <c:pt idx="175">
                  <c:v>732.78</c:v>
                </c:pt>
                <c:pt idx="176">
                  <c:v>720.67</c:v>
                </c:pt>
                <c:pt idx="177">
                  <c:v>718.35</c:v>
                </c:pt>
                <c:pt idx="178">
                  <c:v>719.01</c:v>
                </c:pt>
                <c:pt idx="179">
                  <c:v>713.57</c:v>
                </c:pt>
                <c:pt idx="180">
                  <c:v>719.22</c:v>
                </c:pt>
                <c:pt idx="181">
                  <c:v>738.09</c:v>
                </c:pt>
                <c:pt idx="182">
                  <c:v>733.63</c:v>
                </c:pt>
                <c:pt idx="183">
                  <c:v>726.09</c:v>
                </c:pt>
                <c:pt idx="184">
                  <c:v>708.68</c:v>
                </c:pt>
                <c:pt idx="185">
                  <c:v>712.2</c:v>
                </c:pt>
                <c:pt idx="186">
                  <c:v>698.53</c:v>
                </c:pt>
                <c:pt idx="187">
                  <c:v>682.35</c:v>
                </c:pt>
                <c:pt idx="188">
                  <c:v>695.77</c:v>
                </c:pt>
                <c:pt idx="189">
                  <c:v>697.23</c:v>
                </c:pt>
                <c:pt idx="190">
                  <c:v>702.12</c:v>
                </c:pt>
                <c:pt idx="191">
                  <c:v>682.87</c:v>
                </c:pt>
                <c:pt idx="192">
                  <c:v>693.36</c:v>
                </c:pt>
                <c:pt idx="193">
                  <c:v>694.14</c:v>
                </c:pt>
                <c:pt idx="194">
                  <c:v>702.4</c:v>
                </c:pt>
                <c:pt idx="195">
                  <c:v>694.06</c:v>
                </c:pt>
                <c:pt idx="196">
                  <c:v>697.71</c:v>
                </c:pt>
                <c:pt idx="197">
                  <c:v>684.62</c:v>
                </c:pt>
                <c:pt idx="198">
                  <c:v>687.95</c:v>
                </c:pt>
                <c:pt idx="199">
                  <c:v>666.85</c:v>
                </c:pt>
                <c:pt idx="200">
                  <c:v>670.9</c:v>
                </c:pt>
                <c:pt idx="201">
                  <c:v>647.49</c:v>
                </c:pt>
                <c:pt idx="202">
                  <c:v>645.04999999999995</c:v>
                </c:pt>
                <c:pt idx="203">
                  <c:v>643.58000000000004</c:v>
                </c:pt>
                <c:pt idx="204">
                  <c:v>642.32000000000005</c:v>
                </c:pt>
                <c:pt idx="205">
                  <c:v>627.05999999999995</c:v>
                </c:pt>
                <c:pt idx="206">
                  <c:v>636.57000000000005</c:v>
                </c:pt>
                <c:pt idx="207">
                  <c:v>635.5</c:v>
                </c:pt>
                <c:pt idx="208">
                  <c:v>637.1</c:v>
                </c:pt>
                <c:pt idx="209">
                  <c:v>640.42999999999995</c:v>
                </c:pt>
                <c:pt idx="210">
                  <c:v>640.34</c:v>
                </c:pt>
                <c:pt idx="211">
                  <c:v>643.88</c:v>
                </c:pt>
                <c:pt idx="212">
                  <c:v>659.36</c:v>
                </c:pt>
                <c:pt idx="213">
                  <c:v>656.03</c:v>
                </c:pt>
                <c:pt idx="214">
                  <c:v>639.42999999999995</c:v>
                </c:pt>
                <c:pt idx="215">
                  <c:v>592.49</c:v>
                </c:pt>
                <c:pt idx="216">
                  <c:v>598.01</c:v>
                </c:pt>
                <c:pt idx="217">
                  <c:v>596.80999999999995</c:v>
                </c:pt>
                <c:pt idx="218">
                  <c:v>587.30999999999995</c:v>
                </c:pt>
                <c:pt idx="219">
                  <c:v>599.27</c:v>
                </c:pt>
                <c:pt idx="220">
                  <c:v>597.02</c:v>
                </c:pt>
                <c:pt idx="221">
                  <c:v>572.21</c:v>
                </c:pt>
                <c:pt idx="222">
                  <c:v>549</c:v>
                </c:pt>
                <c:pt idx="223">
                  <c:v>554.44000000000005</c:v>
                </c:pt>
                <c:pt idx="224">
                  <c:v>549.74</c:v>
                </c:pt>
                <c:pt idx="225">
                  <c:v>547.27</c:v>
                </c:pt>
                <c:pt idx="226">
                  <c:v>533.15</c:v>
                </c:pt>
                <c:pt idx="227">
                  <c:v>520.27</c:v>
                </c:pt>
                <c:pt idx="228">
                  <c:v>500.28</c:v>
                </c:pt>
                <c:pt idx="229">
                  <c:v>484.66</c:v>
                </c:pt>
                <c:pt idx="230">
                  <c:v>501.48</c:v>
                </c:pt>
                <c:pt idx="231">
                  <c:v>502.31</c:v>
                </c:pt>
                <c:pt idx="232">
                  <c:v>521.52</c:v>
                </c:pt>
                <c:pt idx="233">
                  <c:v>531.48</c:v>
                </c:pt>
                <c:pt idx="234">
                  <c:v>543.57000000000005</c:v>
                </c:pt>
                <c:pt idx="235">
                  <c:v>546.29</c:v>
                </c:pt>
                <c:pt idx="236">
                  <c:v>585.77</c:v>
                </c:pt>
                <c:pt idx="237">
                  <c:v>510.45</c:v>
                </c:pt>
                <c:pt idx="238">
                  <c:v>516.25</c:v>
                </c:pt>
                <c:pt idx="239">
                  <c:v>504.73</c:v>
                </c:pt>
                <c:pt idx="240">
                  <c:v>531.62</c:v>
                </c:pt>
                <c:pt idx="241">
                  <c:v>583.92999999999995</c:v>
                </c:pt>
                <c:pt idx="242">
                  <c:v>586</c:v>
                </c:pt>
                <c:pt idx="243">
                  <c:v>576.36</c:v>
                </c:pt>
                <c:pt idx="244">
                  <c:v>576.74</c:v>
                </c:pt>
                <c:pt idx="245">
                  <c:v>602.58000000000004</c:v>
                </c:pt>
                <c:pt idx="246">
                  <c:v>610.98</c:v>
                </c:pt>
                <c:pt idx="247">
                  <c:v>626.30999999999995</c:v>
                </c:pt>
                <c:pt idx="248">
                  <c:v>618.85</c:v>
                </c:pt>
                <c:pt idx="249">
                  <c:v>596.25</c:v>
                </c:pt>
                <c:pt idx="250">
                  <c:v>586</c:v>
                </c:pt>
                <c:pt idx="251">
                  <c:v>584.05999999999995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1-4443-8B11-95166AA74E5F}"/>
            </c:ext>
          </c:extLst>
        </c:ser>
        <c:ser>
          <c:idx val="1"/>
          <c:order val="1"/>
          <c:tx>
            <c:strRef>
              <c:f>Morgan!$M$1:$M$2</c:f>
              <c:strCache>
                <c:ptCount val="2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Morgan!$B$3:$B$255</c:f>
              <c:strCache>
                <c:ptCount val="252"/>
                <c:pt idx="0">
                  <c:v>Date</c:v>
                </c:pt>
                <c:pt idx="1">
                  <c:v>03/18/2026</c:v>
                </c:pt>
                <c:pt idx="2">
                  <c:v>03/17/2026</c:v>
                </c:pt>
                <c:pt idx="3">
                  <c:v>03/16/2026</c:v>
                </c:pt>
                <c:pt idx="4">
                  <c:v>03/13/2026</c:v>
                </c:pt>
                <c:pt idx="5">
                  <c:v>03/12/2026</c:v>
                </c:pt>
                <c:pt idx="6">
                  <c:v>03/11/2026</c:v>
                </c:pt>
                <c:pt idx="7">
                  <c:v>03/10/2026</c:v>
                </c:pt>
                <c:pt idx="8">
                  <c:v>03/09/2026</c:v>
                </c:pt>
                <c:pt idx="9">
                  <c:v>03/06/2026</c:v>
                </c:pt>
                <c:pt idx="10">
                  <c:v>03/05/2026</c:v>
                </c:pt>
                <c:pt idx="11">
                  <c:v>03/04/2026</c:v>
                </c:pt>
                <c:pt idx="12">
                  <c:v>03/03/2026</c:v>
                </c:pt>
                <c:pt idx="13">
                  <c:v>03/02/2026</c:v>
                </c:pt>
                <c:pt idx="14">
                  <c:v>02/27/2026</c:v>
                </c:pt>
                <c:pt idx="15">
                  <c:v>02/26/2026</c:v>
                </c:pt>
                <c:pt idx="16">
                  <c:v>02/25/2026</c:v>
                </c:pt>
                <c:pt idx="17">
                  <c:v>02/24/2026</c:v>
                </c:pt>
                <c:pt idx="18">
                  <c:v>02/23/2026</c:v>
                </c:pt>
                <c:pt idx="19">
                  <c:v>02/20/2026</c:v>
                </c:pt>
                <c:pt idx="20">
                  <c:v>02/19/2026</c:v>
                </c:pt>
                <c:pt idx="21">
                  <c:v>02/18/2026</c:v>
                </c:pt>
                <c:pt idx="22">
                  <c:v>02/17/2026</c:v>
                </c:pt>
                <c:pt idx="23">
                  <c:v>02/13/2026</c:v>
                </c:pt>
                <c:pt idx="24">
                  <c:v>02/12/2026</c:v>
                </c:pt>
                <c:pt idx="25">
                  <c:v>02/11/2026</c:v>
                </c:pt>
                <c:pt idx="26">
                  <c:v>02/10/2026</c:v>
                </c:pt>
                <c:pt idx="27">
                  <c:v>02/09/2026</c:v>
                </c:pt>
                <c:pt idx="28">
                  <c:v>02/06/2026</c:v>
                </c:pt>
                <c:pt idx="29">
                  <c:v>02/05/2026</c:v>
                </c:pt>
                <c:pt idx="30">
                  <c:v>02/04/2026</c:v>
                </c:pt>
                <c:pt idx="31">
                  <c:v>02/03/2026</c:v>
                </c:pt>
                <c:pt idx="32">
                  <c:v>02/02/2026</c:v>
                </c:pt>
                <c:pt idx="33">
                  <c:v>01/30/2026</c:v>
                </c:pt>
                <c:pt idx="34">
                  <c:v>01/29/2026</c:v>
                </c:pt>
                <c:pt idx="35">
                  <c:v>01/28/2026</c:v>
                </c:pt>
                <c:pt idx="36">
                  <c:v>01/27/2026</c:v>
                </c:pt>
                <c:pt idx="37">
                  <c:v>01/26/2026</c:v>
                </c:pt>
                <c:pt idx="38">
                  <c:v>01/23/2026</c:v>
                </c:pt>
                <c:pt idx="39">
                  <c:v>01/22/2026</c:v>
                </c:pt>
                <c:pt idx="40">
                  <c:v>01/21/2026</c:v>
                </c:pt>
                <c:pt idx="41">
                  <c:v>01/20/2026</c:v>
                </c:pt>
                <c:pt idx="42">
                  <c:v>01/16/2026</c:v>
                </c:pt>
                <c:pt idx="43">
                  <c:v>01/15/2026</c:v>
                </c:pt>
                <c:pt idx="44">
                  <c:v>01/14/2026</c:v>
                </c:pt>
                <c:pt idx="45">
                  <c:v>01/13/2026</c:v>
                </c:pt>
                <c:pt idx="46">
                  <c:v>01/12/2026</c:v>
                </c:pt>
                <c:pt idx="47">
                  <c:v>01/09/2026</c:v>
                </c:pt>
                <c:pt idx="48">
                  <c:v>01/08/2026</c:v>
                </c:pt>
                <c:pt idx="49">
                  <c:v>01/07/2026</c:v>
                </c:pt>
                <c:pt idx="50">
                  <c:v>01/06/2026</c:v>
                </c:pt>
                <c:pt idx="51">
                  <c:v>01/05/2026</c:v>
                </c:pt>
                <c:pt idx="52">
                  <c:v>01/02/2026</c:v>
                </c:pt>
                <c:pt idx="53">
                  <c:v>12/31/2025</c:v>
                </c:pt>
                <c:pt idx="54">
                  <c:v>12/30/2025</c:v>
                </c:pt>
                <c:pt idx="55">
                  <c:v>12/29/2025</c:v>
                </c:pt>
                <c:pt idx="56">
                  <c:v>12/26/2025</c:v>
                </c:pt>
                <c:pt idx="57">
                  <c:v>12/24/2025</c:v>
                </c:pt>
                <c:pt idx="58">
                  <c:v>12/23/2025</c:v>
                </c:pt>
                <c:pt idx="59">
                  <c:v>12/22/2025</c:v>
                </c:pt>
                <c:pt idx="60">
                  <c:v>12/19/2025</c:v>
                </c:pt>
                <c:pt idx="61">
                  <c:v>12/18/2025</c:v>
                </c:pt>
                <c:pt idx="62">
                  <c:v>12/17/2025</c:v>
                </c:pt>
                <c:pt idx="63">
                  <c:v>12/16/2025</c:v>
                </c:pt>
                <c:pt idx="64">
                  <c:v>12/15/2025</c:v>
                </c:pt>
                <c:pt idx="65">
                  <c:v>12/12/2025</c:v>
                </c:pt>
                <c:pt idx="66">
                  <c:v>12/11/2025</c:v>
                </c:pt>
                <c:pt idx="67">
                  <c:v>12/10/2025</c:v>
                </c:pt>
                <c:pt idx="68">
                  <c:v>12/09/2025</c:v>
                </c:pt>
                <c:pt idx="69">
                  <c:v>12/08/2025</c:v>
                </c:pt>
                <c:pt idx="70">
                  <c:v>12/05/2025</c:v>
                </c:pt>
                <c:pt idx="71">
                  <c:v>12/04/2025</c:v>
                </c:pt>
                <c:pt idx="72">
                  <c:v>12/03/2025</c:v>
                </c:pt>
                <c:pt idx="73">
                  <c:v>12/02/2025</c:v>
                </c:pt>
                <c:pt idx="74">
                  <c:v>12/01/2025</c:v>
                </c:pt>
                <c:pt idx="75">
                  <c:v>11/28/2025</c:v>
                </c:pt>
                <c:pt idx="76">
                  <c:v>11/26/2025</c:v>
                </c:pt>
                <c:pt idx="77">
                  <c:v>11/25/2025</c:v>
                </c:pt>
                <c:pt idx="78">
                  <c:v>11/24/2025</c:v>
                </c:pt>
                <c:pt idx="79">
                  <c:v>11/21/2025</c:v>
                </c:pt>
                <c:pt idx="80">
                  <c:v>11/20/2025</c:v>
                </c:pt>
                <c:pt idx="81">
                  <c:v>11/19/2025</c:v>
                </c:pt>
                <c:pt idx="82">
                  <c:v>11/18/2025</c:v>
                </c:pt>
                <c:pt idx="83">
                  <c:v>11/17/2025</c:v>
                </c:pt>
                <c:pt idx="84">
                  <c:v>11/14/2025</c:v>
                </c:pt>
                <c:pt idx="85">
                  <c:v>11/13/2025</c:v>
                </c:pt>
                <c:pt idx="86">
                  <c:v>11/12/2025</c:v>
                </c:pt>
                <c:pt idx="87">
                  <c:v>11/11/2025</c:v>
                </c:pt>
                <c:pt idx="88">
                  <c:v>11/10/2025</c:v>
                </c:pt>
                <c:pt idx="89">
                  <c:v>11/07/2025</c:v>
                </c:pt>
                <c:pt idx="90">
                  <c:v>11/06/2025</c:v>
                </c:pt>
                <c:pt idx="91">
                  <c:v>11/05/2025</c:v>
                </c:pt>
                <c:pt idx="92">
                  <c:v>11/04/2025</c:v>
                </c:pt>
                <c:pt idx="93">
                  <c:v>11/03/2025</c:v>
                </c:pt>
                <c:pt idx="94">
                  <c:v>10/31/2025</c:v>
                </c:pt>
                <c:pt idx="95">
                  <c:v>10/30/2025</c:v>
                </c:pt>
                <c:pt idx="96">
                  <c:v>10/29/2025</c:v>
                </c:pt>
                <c:pt idx="97">
                  <c:v>10/28/2025</c:v>
                </c:pt>
                <c:pt idx="98">
                  <c:v>10/27/2025</c:v>
                </c:pt>
                <c:pt idx="99">
                  <c:v>10/24/2025</c:v>
                </c:pt>
                <c:pt idx="100">
                  <c:v>10/23/2025</c:v>
                </c:pt>
                <c:pt idx="101">
                  <c:v>10/22/2025</c:v>
                </c:pt>
                <c:pt idx="102">
                  <c:v>10/21/2025</c:v>
                </c:pt>
                <c:pt idx="103">
                  <c:v>10/20/2025</c:v>
                </c:pt>
                <c:pt idx="104">
                  <c:v>10/17/2025</c:v>
                </c:pt>
                <c:pt idx="105">
                  <c:v>10/16/2025</c:v>
                </c:pt>
                <c:pt idx="106">
                  <c:v>10/15/2025</c:v>
                </c:pt>
                <c:pt idx="107">
                  <c:v>10/14/2025</c:v>
                </c:pt>
                <c:pt idx="108">
                  <c:v>10/13/2025</c:v>
                </c:pt>
                <c:pt idx="109">
                  <c:v>10/10/2025</c:v>
                </c:pt>
                <c:pt idx="110">
                  <c:v>10/09/2025</c:v>
                </c:pt>
                <c:pt idx="111">
                  <c:v>10/08/2025</c:v>
                </c:pt>
                <c:pt idx="112">
                  <c:v>10/07/2025</c:v>
                </c:pt>
                <c:pt idx="113">
                  <c:v>10/06/2025</c:v>
                </c:pt>
                <c:pt idx="114">
                  <c:v>10/03/2025</c:v>
                </c:pt>
                <c:pt idx="115">
                  <c:v>10/02/2025</c:v>
                </c:pt>
                <c:pt idx="116">
                  <c:v>10/01/2025</c:v>
                </c:pt>
                <c:pt idx="117">
                  <c:v>09/30/2025</c:v>
                </c:pt>
                <c:pt idx="118">
                  <c:v>09/29/2025</c:v>
                </c:pt>
                <c:pt idx="119">
                  <c:v>09/26/2025</c:v>
                </c:pt>
                <c:pt idx="120">
                  <c:v>09/25/2025</c:v>
                </c:pt>
                <c:pt idx="121">
                  <c:v>09/24/2025</c:v>
                </c:pt>
                <c:pt idx="122">
                  <c:v>09/23/2025</c:v>
                </c:pt>
                <c:pt idx="123">
                  <c:v>09/22/2025</c:v>
                </c:pt>
                <c:pt idx="124">
                  <c:v>09/19/2025</c:v>
                </c:pt>
                <c:pt idx="125">
                  <c:v>09/18/2025</c:v>
                </c:pt>
                <c:pt idx="126">
                  <c:v>09/17/2025</c:v>
                </c:pt>
                <c:pt idx="127">
                  <c:v>09/16/2025</c:v>
                </c:pt>
                <c:pt idx="128">
                  <c:v>09/15/2025</c:v>
                </c:pt>
                <c:pt idx="129">
                  <c:v>09/12/2025</c:v>
                </c:pt>
                <c:pt idx="130">
                  <c:v>09/11/2025</c:v>
                </c:pt>
                <c:pt idx="131">
                  <c:v>09/10/2025</c:v>
                </c:pt>
                <c:pt idx="132">
                  <c:v>09/09/2025</c:v>
                </c:pt>
                <c:pt idx="133">
                  <c:v>09/08/2025</c:v>
                </c:pt>
                <c:pt idx="134">
                  <c:v>09/05/2025</c:v>
                </c:pt>
                <c:pt idx="135">
                  <c:v>09/04/2025</c:v>
                </c:pt>
                <c:pt idx="136">
                  <c:v>09/03/2025</c:v>
                </c:pt>
                <c:pt idx="137">
                  <c:v>09/02/2025</c:v>
                </c:pt>
                <c:pt idx="138">
                  <c:v>08/29/2025</c:v>
                </c:pt>
                <c:pt idx="139">
                  <c:v>08/28/2025</c:v>
                </c:pt>
                <c:pt idx="140">
                  <c:v>08/27/2025</c:v>
                </c:pt>
                <c:pt idx="141">
                  <c:v>08/26/2025</c:v>
                </c:pt>
                <c:pt idx="142">
                  <c:v>08/25/2025</c:v>
                </c:pt>
                <c:pt idx="143">
                  <c:v>08/22/2025</c:v>
                </c:pt>
                <c:pt idx="144">
                  <c:v>08/21/2025</c:v>
                </c:pt>
                <c:pt idx="145">
                  <c:v>08/20/2025</c:v>
                </c:pt>
                <c:pt idx="146">
                  <c:v>08/19/2025</c:v>
                </c:pt>
                <c:pt idx="147">
                  <c:v>08/18/2025</c:v>
                </c:pt>
                <c:pt idx="148">
                  <c:v>08/15/2025</c:v>
                </c:pt>
                <c:pt idx="149">
                  <c:v>08/14/2025</c:v>
                </c:pt>
                <c:pt idx="150">
                  <c:v>08/13/2025</c:v>
                </c:pt>
                <c:pt idx="151">
                  <c:v>08/12/2025</c:v>
                </c:pt>
                <c:pt idx="152">
                  <c:v>08/11/2025</c:v>
                </c:pt>
                <c:pt idx="153">
                  <c:v>08/08/2025</c:v>
                </c:pt>
                <c:pt idx="154">
                  <c:v>08/07/2025</c:v>
                </c:pt>
                <c:pt idx="155">
                  <c:v>08/06/2025</c:v>
                </c:pt>
                <c:pt idx="156">
                  <c:v>08/05/2025</c:v>
                </c:pt>
                <c:pt idx="157">
                  <c:v>08/04/2025</c:v>
                </c:pt>
                <c:pt idx="158">
                  <c:v>08/01/2025</c:v>
                </c:pt>
                <c:pt idx="159">
                  <c:v>07/31/2025</c:v>
                </c:pt>
                <c:pt idx="160">
                  <c:v>07/30/2025</c:v>
                </c:pt>
                <c:pt idx="161">
                  <c:v>07/29/2025</c:v>
                </c:pt>
                <c:pt idx="162">
                  <c:v>07/28/2025</c:v>
                </c:pt>
                <c:pt idx="163">
                  <c:v>07/25/2025</c:v>
                </c:pt>
                <c:pt idx="164">
                  <c:v>07/24/2025</c:v>
                </c:pt>
                <c:pt idx="165">
                  <c:v>07/23/2025</c:v>
                </c:pt>
                <c:pt idx="166">
                  <c:v>07/22/2025</c:v>
                </c:pt>
                <c:pt idx="167">
                  <c:v>07/21/2025</c:v>
                </c:pt>
                <c:pt idx="168">
                  <c:v>07/18/2025</c:v>
                </c:pt>
                <c:pt idx="169">
                  <c:v>07/17/2025</c:v>
                </c:pt>
                <c:pt idx="170">
                  <c:v>07/16/2025</c:v>
                </c:pt>
                <c:pt idx="171">
                  <c:v>07/15/2025</c:v>
                </c:pt>
                <c:pt idx="172">
                  <c:v>07/14/2025</c:v>
                </c:pt>
                <c:pt idx="173">
                  <c:v>07/11/2025</c:v>
                </c:pt>
                <c:pt idx="174">
                  <c:v>07/10/2025</c:v>
                </c:pt>
                <c:pt idx="175">
                  <c:v>07/09/2025</c:v>
                </c:pt>
                <c:pt idx="176">
                  <c:v>07/08/2025</c:v>
                </c:pt>
                <c:pt idx="177">
                  <c:v>07/07/2025</c:v>
                </c:pt>
                <c:pt idx="178">
                  <c:v>07/03/2025</c:v>
                </c:pt>
                <c:pt idx="179">
                  <c:v>07/02/2025</c:v>
                </c:pt>
                <c:pt idx="180">
                  <c:v>07/01/2025</c:v>
                </c:pt>
                <c:pt idx="181">
                  <c:v>06/30/2025</c:v>
                </c:pt>
                <c:pt idx="182">
                  <c:v>06/27/2025</c:v>
                </c:pt>
                <c:pt idx="183">
                  <c:v>06/26/2025</c:v>
                </c:pt>
                <c:pt idx="184">
                  <c:v>06/25/2025</c:v>
                </c:pt>
                <c:pt idx="185">
                  <c:v>06/24/2025</c:v>
                </c:pt>
                <c:pt idx="186">
                  <c:v>06/23/2025</c:v>
                </c:pt>
                <c:pt idx="187">
                  <c:v>06/20/2025</c:v>
                </c:pt>
                <c:pt idx="188">
                  <c:v>06/18/2025</c:v>
                </c:pt>
                <c:pt idx="189">
                  <c:v>06/17/2025</c:v>
                </c:pt>
                <c:pt idx="190">
                  <c:v>06/16/2025</c:v>
                </c:pt>
                <c:pt idx="191">
                  <c:v>06/13/2025</c:v>
                </c:pt>
                <c:pt idx="192">
                  <c:v>06/12/2025</c:v>
                </c:pt>
                <c:pt idx="193">
                  <c:v>06/11/2025</c:v>
                </c:pt>
                <c:pt idx="194">
                  <c:v>06/10/2025</c:v>
                </c:pt>
                <c:pt idx="195">
                  <c:v>06/09/2025</c:v>
                </c:pt>
                <c:pt idx="196">
                  <c:v>06/06/2025</c:v>
                </c:pt>
                <c:pt idx="197">
                  <c:v>06/05/2025</c:v>
                </c:pt>
                <c:pt idx="198">
                  <c:v>06/04/2025</c:v>
                </c:pt>
                <c:pt idx="199">
                  <c:v>06/03/2025</c:v>
                </c:pt>
                <c:pt idx="200">
                  <c:v>06/02/2025</c:v>
                </c:pt>
                <c:pt idx="201">
                  <c:v>05/30/2025</c:v>
                </c:pt>
                <c:pt idx="202">
                  <c:v>05/29/2025</c:v>
                </c:pt>
                <c:pt idx="203">
                  <c:v>05/28/2025</c:v>
                </c:pt>
                <c:pt idx="204">
                  <c:v>05/27/2025</c:v>
                </c:pt>
                <c:pt idx="205">
                  <c:v>05/23/2025</c:v>
                </c:pt>
                <c:pt idx="206">
                  <c:v>05/22/2025</c:v>
                </c:pt>
                <c:pt idx="207">
                  <c:v>05/21/2025</c:v>
                </c:pt>
                <c:pt idx="208">
                  <c:v>05/20/2025</c:v>
                </c:pt>
                <c:pt idx="209">
                  <c:v>05/19/2025</c:v>
                </c:pt>
                <c:pt idx="210">
                  <c:v>05/16/2025</c:v>
                </c:pt>
                <c:pt idx="211">
                  <c:v>05/15/2025</c:v>
                </c:pt>
                <c:pt idx="212">
                  <c:v>05/14/2025</c:v>
                </c:pt>
                <c:pt idx="213">
                  <c:v>05/13/2025</c:v>
                </c:pt>
                <c:pt idx="214">
                  <c:v>05/12/2025</c:v>
                </c:pt>
                <c:pt idx="215">
                  <c:v>05/09/2025</c:v>
                </c:pt>
                <c:pt idx="216">
                  <c:v>05/08/2025</c:v>
                </c:pt>
                <c:pt idx="217">
                  <c:v>05/07/2025</c:v>
                </c:pt>
                <c:pt idx="218">
                  <c:v>05/06/2025</c:v>
                </c:pt>
                <c:pt idx="219">
                  <c:v>05/05/2025</c:v>
                </c:pt>
                <c:pt idx="220">
                  <c:v>05/02/2025</c:v>
                </c:pt>
                <c:pt idx="221">
                  <c:v>05/01/2025</c:v>
                </c:pt>
                <c:pt idx="222">
                  <c:v>04/30/2025</c:v>
                </c:pt>
                <c:pt idx="223">
                  <c:v>04/29/2025</c:v>
                </c:pt>
                <c:pt idx="224">
                  <c:v>04/28/2025</c:v>
                </c:pt>
                <c:pt idx="225">
                  <c:v>04/25/2025</c:v>
                </c:pt>
                <c:pt idx="226">
                  <c:v>04/24/2025</c:v>
                </c:pt>
                <c:pt idx="227">
                  <c:v>04/23/2025</c:v>
                </c:pt>
                <c:pt idx="228">
                  <c:v>04/22/2025</c:v>
                </c:pt>
                <c:pt idx="229">
                  <c:v>04/21/2025</c:v>
                </c:pt>
                <c:pt idx="230">
                  <c:v>04/17/2025</c:v>
                </c:pt>
                <c:pt idx="231">
                  <c:v>04/16/2025</c:v>
                </c:pt>
                <c:pt idx="232">
                  <c:v>04/15/2025</c:v>
                </c:pt>
                <c:pt idx="233">
                  <c:v>04/14/2025</c:v>
                </c:pt>
                <c:pt idx="234">
                  <c:v>04/11/2025</c:v>
                </c:pt>
                <c:pt idx="235">
                  <c:v>04/10/2025</c:v>
                </c:pt>
                <c:pt idx="236">
                  <c:v>04/09/2025</c:v>
                </c:pt>
                <c:pt idx="237">
                  <c:v>04/08/2025</c:v>
                </c:pt>
                <c:pt idx="238">
                  <c:v>04/07/2025</c:v>
                </c:pt>
                <c:pt idx="239">
                  <c:v>04/04/2025</c:v>
                </c:pt>
                <c:pt idx="240">
                  <c:v>04/03/2025</c:v>
                </c:pt>
                <c:pt idx="241">
                  <c:v>04/02/2025</c:v>
                </c:pt>
                <c:pt idx="242">
                  <c:v>04/01/2025</c:v>
                </c:pt>
                <c:pt idx="243">
                  <c:v>03/31/2025</c:v>
                </c:pt>
                <c:pt idx="244">
                  <c:v>03/28/2025</c:v>
                </c:pt>
                <c:pt idx="245">
                  <c:v>03/27/2025</c:v>
                </c:pt>
                <c:pt idx="246">
                  <c:v>03/26/2025</c:v>
                </c:pt>
                <c:pt idx="247">
                  <c:v>03/25/2025</c:v>
                </c:pt>
                <c:pt idx="248">
                  <c:v>03/24/2025</c:v>
                </c:pt>
                <c:pt idx="249">
                  <c:v>03/21/2025</c:v>
                </c:pt>
                <c:pt idx="250">
                  <c:v>03/20/2025</c:v>
                </c:pt>
                <c:pt idx="251">
                  <c:v>03/19/2025</c:v>
                </c:pt>
              </c:strCache>
            </c:strRef>
          </c:cat>
          <c:val>
            <c:numRef>
              <c:f>Morgan!$M$3:$M$255</c:f>
              <c:numCache>
                <c:formatCode>General</c:formatCode>
                <c:ptCount val="253"/>
                <c:pt idx="0">
                  <c:v>0</c:v>
                </c:pt>
                <c:pt idx="1">
                  <c:v>422.15369756232877</c:v>
                </c:pt>
                <c:pt idx="2">
                  <c:v>434.52548228245172</c:v>
                </c:pt>
                <c:pt idx="3">
                  <c:v>427.44410707483718</c:v>
                </c:pt>
                <c:pt idx="4">
                  <c:v>428.69208268615859</c:v>
                </c:pt>
                <c:pt idx="5">
                  <c:v>418.00412143182967</c:v>
                </c:pt>
                <c:pt idx="6">
                  <c:v>404.80632408193554</c:v>
                </c:pt>
                <c:pt idx="7">
                  <c:v>406.65276685506836</c:v>
                </c:pt>
                <c:pt idx="8">
                  <c:v>410.24939783617845</c:v>
                </c:pt>
                <c:pt idx="9">
                  <c:v>413.41509908116672</c:v>
                </c:pt>
                <c:pt idx="10">
                  <c:v>414.68239108639784</c:v>
                </c:pt>
                <c:pt idx="11">
                  <c:v>399.6306150598889</c:v>
                </c:pt>
                <c:pt idx="12">
                  <c:v>406.60358493675159</c:v>
                </c:pt>
                <c:pt idx="13">
                  <c:v>421.58976486431908</c:v>
                </c:pt>
                <c:pt idx="14">
                  <c:v>434.58813295805811</c:v>
                </c:pt>
                <c:pt idx="15">
                  <c:v>434.96415950872927</c:v>
                </c:pt>
                <c:pt idx="16">
                  <c:v>448.82691416220479</c:v>
                </c:pt>
                <c:pt idx="17">
                  <c:v>440.18379084844344</c:v>
                </c:pt>
                <c:pt idx="18">
                  <c:v>446.5479151650058</c:v>
                </c:pt>
                <c:pt idx="19">
                  <c:v>441.31737994613701</c:v>
                </c:pt>
                <c:pt idx="20">
                  <c:v>466.22353570008352</c:v>
                </c:pt>
                <c:pt idx="21">
                  <c:v>448.88219780221783</c:v>
                </c:pt>
                <c:pt idx="22">
                  <c:v>444.6765955032086</c:v>
                </c:pt>
                <c:pt idx="23">
                  <c:v>449.02983424805223</c:v>
                </c:pt>
                <c:pt idx="24">
                  <c:v>460.44807343068049</c:v>
                </c:pt>
                <c:pt idx="25">
                  <c:v>463.99451408048259</c:v>
                </c:pt>
                <c:pt idx="26">
                  <c:v>479.3753088879896</c:v>
                </c:pt>
                <c:pt idx="27">
                  <c:v>488.60794730548565</c:v>
                </c:pt>
                <c:pt idx="28">
                  <c:v>492.88598776255435</c:v>
                </c:pt>
                <c:pt idx="29">
                  <c:v>488.37753308069256</c:v>
                </c:pt>
                <c:pt idx="30">
                  <c:v>491.89331022101709</c:v>
                </c:pt>
                <c:pt idx="31">
                  <c:v>488.27531005798602</c:v>
                </c:pt>
                <c:pt idx="32">
                  <c:v>491.23082345913633</c:v>
                </c:pt>
                <c:pt idx="33">
                  <c:v>499.44071518467604</c:v>
                </c:pt>
                <c:pt idx="34">
                  <c:v>510.06198017359378</c:v>
                </c:pt>
                <c:pt idx="35">
                  <c:v>532.24677042165206</c:v>
                </c:pt>
                <c:pt idx="36">
                  <c:v>544.75418082621297</c:v>
                </c:pt>
                <c:pt idx="37">
                  <c:v>539.28496105150577</c:v>
                </c:pt>
                <c:pt idx="38">
                  <c:v>552.4539707882069</c:v>
                </c:pt>
                <c:pt idx="39">
                  <c:v>542.83128791167303</c:v>
                </c:pt>
                <c:pt idx="40">
                  <c:v>565.33986985133754</c:v>
                </c:pt>
                <c:pt idx="41">
                  <c:v>573.8729705731987</c:v>
                </c:pt>
                <c:pt idx="42">
                  <c:v>579.2266113477591</c:v>
                </c:pt>
                <c:pt idx="43">
                  <c:v>584.90074289457482</c:v>
                </c:pt>
                <c:pt idx="44">
                  <c:v>580.23543746041355</c:v>
                </c:pt>
                <c:pt idx="45">
                  <c:v>580.67208265150362</c:v>
                </c:pt>
                <c:pt idx="46">
                  <c:v>580.68933424565671</c:v>
                </c:pt>
                <c:pt idx="47">
                  <c:v>574.27844579025361</c:v>
                </c:pt>
                <c:pt idx="48">
                  <c:v>600.89476958982561</c:v>
                </c:pt>
                <c:pt idx="49">
                  <c:v>593.37781751528109</c:v>
                </c:pt>
                <c:pt idx="50">
                  <c:v>572.7653059441476</c:v>
                </c:pt>
                <c:pt idx="51">
                  <c:v>570.56499244194163</c:v>
                </c:pt>
                <c:pt idx="52">
                  <c:v>584.58093026098175</c:v>
                </c:pt>
                <c:pt idx="53">
                  <c:v>584.82670779445891</c:v>
                </c:pt>
                <c:pt idx="54">
                  <c:v>561.98908550332169</c:v>
                </c:pt>
                <c:pt idx="55">
                  <c:v>571.19984674453553</c:v>
                </c:pt>
                <c:pt idx="56">
                  <c:v>586.04050849569842</c:v>
                </c:pt>
                <c:pt idx="57">
                  <c:v>573.64805710912162</c:v>
                </c:pt>
                <c:pt idx="58">
                  <c:v>576.07155785802149</c:v>
                </c:pt>
                <c:pt idx="59">
                  <c:v>549.6327056297971</c:v>
                </c:pt>
                <c:pt idx="60">
                  <c:v>540.58746458603741</c:v>
                </c:pt>
                <c:pt idx="61">
                  <c:v>545.05776787192281</c:v>
                </c:pt>
                <c:pt idx="62">
                  <c:v>558.2371269043083</c:v>
                </c:pt>
                <c:pt idx="63">
                  <c:v>571.51430755379943</c:v>
                </c:pt>
                <c:pt idx="64">
                  <c:v>580.31335657236355</c:v>
                </c:pt>
                <c:pt idx="65">
                  <c:v>581.87722997901426</c:v>
                </c:pt>
                <c:pt idx="66">
                  <c:v>577.93504362126214</c:v>
                </c:pt>
                <c:pt idx="67">
                  <c:v>591.22303398077679</c:v>
                </c:pt>
                <c:pt idx="68">
                  <c:v>574.40370234759655</c:v>
                </c:pt>
                <c:pt idx="69">
                  <c:v>547.69527765947225</c:v>
                </c:pt>
                <c:pt idx="70">
                  <c:v>528.83880148379581</c:v>
                </c:pt>
                <c:pt idx="71">
                  <c:v>523.17022449107412</c:v>
                </c:pt>
                <c:pt idx="72">
                  <c:v>499.40767537431674</c:v>
                </c:pt>
                <c:pt idx="73">
                  <c:v>495.93956121828614</c:v>
                </c:pt>
                <c:pt idx="74">
                  <c:v>503.70723402703044</c:v>
                </c:pt>
                <c:pt idx="75">
                  <c:v>495.82443192338434</c:v>
                </c:pt>
                <c:pt idx="76">
                  <c:v>504.07790013905424</c:v>
                </c:pt>
                <c:pt idx="77">
                  <c:v>496.41914576100936</c:v>
                </c:pt>
                <c:pt idx="78">
                  <c:v>496.60117155235713</c:v>
                </c:pt>
                <c:pt idx="79">
                  <c:v>490.05574414661214</c:v>
                </c:pt>
                <c:pt idx="80">
                  <c:v>477.26191549278491</c:v>
                </c:pt>
                <c:pt idx="81">
                  <c:v>463.10924044675971</c:v>
                </c:pt>
                <c:pt idx="82">
                  <c:v>474.37922362183747</c:v>
                </c:pt>
                <c:pt idx="83">
                  <c:v>466.5420738205604</c:v>
                </c:pt>
                <c:pt idx="84">
                  <c:v>475.79949876111237</c:v>
                </c:pt>
                <c:pt idx="85">
                  <c:v>479.10042942944102</c:v>
                </c:pt>
                <c:pt idx="86">
                  <c:v>463.15202999731457</c:v>
                </c:pt>
                <c:pt idx="87">
                  <c:v>463.41489311422788</c:v>
                </c:pt>
                <c:pt idx="88">
                  <c:v>464.10669632153235</c:v>
                </c:pt>
                <c:pt idx="89">
                  <c:v>458.52084530176694</c:v>
                </c:pt>
                <c:pt idx="90">
                  <c:v>463.8591140341955</c:v>
                </c:pt>
                <c:pt idx="91">
                  <c:v>475.9732178466752</c:v>
                </c:pt>
                <c:pt idx="92">
                  <c:v>501.44759008832131</c:v>
                </c:pt>
                <c:pt idx="93">
                  <c:v>482.61756968086195</c:v>
                </c:pt>
                <c:pt idx="94">
                  <c:v>468.68301234114364</c:v>
                </c:pt>
                <c:pt idx="95">
                  <c:v>468.12822770137439</c:v>
                </c:pt>
                <c:pt idx="96">
                  <c:v>439.00403319073018</c:v>
                </c:pt>
                <c:pt idx="97">
                  <c:v>447.84176422590127</c:v>
                </c:pt>
                <c:pt idx="98">
                  <c:v>456.51359382687059</c:v>
                </c:pt>
                <c:pt idx="99">
                  <c:v>455.09772387707756</c:v>
                </c:pt>
                <c:pt idx="100">
                  <c:v>461.33297121867736</c:v>
                </c:pt>
                <c:pt idx="101">
                  <c:v>451.93018480401452</c:v>
                </c:pt>
                <c:pt idx="102">
                  <c:v>449.95275277007153</c:v>
                </c:pt>
                <c:pt idx="103">
                  <c:v>466.39341267643795</c:v>
                </c:pt>
                <c:pt idx="104">
                  <c:v>475.35111423752062</c:v>
                </c:pt>
                <c:pt idx="105">
                  <c:v>483.33900546225851</c:v>
                </c:pt>
                <c:pt idx="106">
                  <c:v>472.74955007631206</c:v>
                </c:pt>
                <c:pt idx="107">
                  <c:v>470.19305602526214</c:v>
                </c:pt>
                <c:pt idx="108">
                  <c:v>464.68296739537709</c:v>
                </c:pt>
                <c:pt idx="109">
                  <c:v>468.72119667921652</c:v>
                </c:pt>
                <c:pt idx="110">
                  <c:v>455.34595677179556</c:v>
                </c:pt>
                <c:pt idx="111">
                  <c:v>460.48921112967457</c:v>
                </c:pt>
                <c:pt idx="112">
                  <c:v>452.67113552238681</c:v>
                </c:pt>
                <c:pt idx="113">
                  <c:v>452.47564925560357</c:v>
                </c:pt>
                <c:pt idx="114">
                  <c:v>445.0492979289711</c:v>
                </c:pt>
                <c:pt idx="115">
                  <c:v>451.06744830574985</c:v>
                </c:pt>
                <c:pt idx="116">
                  <c:v>459.07492047409761</c:v>
                </c:pt>
                <c:pt idx="117">
                  <c:v>483.22470064315007</c:v>
                </c:pt>
                <c:pt idx="118">
                  <c:v>503.12586140757946</c:v>
                </c:pt>
                <c:pt idx="119">
                  <c:v>500.58991832689935</c:v>
                </c:pt>
                <c:pt idx="120">
                  <c:v>510.77246173875329</c:v>
                </c:pt>
                <c:pt idx="121">
                  <c:v>513.1820819046801</c:v>
                </c:pt>
                <c:pt idx="122">
                  <c:v>503.74681304416703</c:v>
                </c:pt>
                <c:pt idx="123">
                  <c:v>509.46084772080508</c:v>
                </c:pt>
                <c:pt idx="124">
                  <c:v>504.02692898433219</c:v>
                </c:pt>
                <c:pt idx="125">
                  <c:v>495.45593720831334</c:v>
                </c:pt>
                <c:pt idx="126">
                  <c:v>494.67547316334623</c:v>
                </c:pt>
                <c:pt idx="127">
                  <c:v>505.47307047284619</c:v>
                </c:pt>
                <c:pt idx="128">
                  <c:v>507.8579152448051</c:v>
                </c:pt>
                <c:pt idx="129">
                  <c:v>524.46555249014853</c:v>
                </c:pt>
                <c:pt idx="130">
                  <c:v>522.81398041195291</c:v>
                </c:pt>
                <c:pt idx="131">
                  <c:v>525.48253454214489</c:v>
                </c:pt>
                <c:pt idx="132">
                  <c:v>523.31032096647357</c:v>
                </c:pt>
                <c:pt idx="133">
                  <c:v>535.13967454281533</c:v>
                </c:pt>
                <c:pt idx="134">
                  <c:v>532.02833677943636</c:v>
                </c:pt>
                <c:pt idx="135">
                  <c:v>522.49030706290159</c:v>
                </c:pt>
                <c:pt idx="136">
                  <c:v>513.72997964556998</c:v>
                </c:pt>
                <c:pt idx="137">
                  <c:v>533.40282985993758</c:v>
                </c:pt>
                <c:pt idx="138">
                  <c:v>511.05994809082949</c:v>
                </c:pt>
                <c:pt idx="139">
                  <c:v>498.79961718914154</c:v>
                </c:pt>
                <c:pt idx="140">
                  <c:v>479.95015108560813</c:v>
                </c:pt>
                <c:pt idx="141">
                  <c:v>497.54917279752681</c:v>
                </c:pt>
                <c:pt idx="142">
                  <c:v>515.48346365580903</c:v>
                </c:pt>
                <c:pt idx="143">
                  <c:v>528.71386172517043</c:v>
                </c:pt>
                <c:pt idx="144">
                  <c:v>516.03416289946199</c:v>
                </c:pt>
                <c:pt idx="145">
                  <c:v>515.83285339961424</c:v>
                </c:pt>
                <c:pt idx="146">
                  <c:v>516.05278737915728</c:v>
                </c:pt>
                <c:pt idx="147">
                  <c:v>514.84288007278337</c:v>
                </c:pt>
                <c:pt idx="148">
                  <c:v>521.42196054785779</c:v>
                </c:pt>
                <c:pt idx="149">
                  <c:v>511.77646996103527</c:v>
                </c:pt>
                <c:pt idx="150">
                  <c:v>513.34990300179379</c:v>
                </c:pt>
                <c:pt idx="151">
                  <c:v>488.93986938064893</c:v>
                </c:pt>
                <c:pt idx="152">
                  <c:v>505.65341708798474</c:v>
                </c:pt>
                <c:pt idx="153">
                  <c:v>496.15360247528912</c:v>
                </c:pt>
                <c:pt idx="154">
                  <c:v>500.8066807972736</c:v>
                </c:pt>
                <c:pt idx="155">
                  <c:v>509.92984375044216</c:v>
                </c:pt>
                <c:pt idx="156">
                  <c:v>523.98861433707111</c:v>
                </c:pt>
                <c:pt idx="157">
                  <c:v>524.53463619233821</c:v>
                </c:pt>
                <c:pt idx="158">
                  <c:v>529.3985853493275</c:v>
                </c:pt>
                <c:pt idx="159">
                  <c:v>531.50331435159251</c:v>
                </c:pt>
                <c:pt idx="160">
                  <c:v>551.26390774378342</c:v>
                </c:pt>
                <c:pt idx="161">
                  <c:v>565.57933955065835</c:v>
                </c:pt>
                <c:pt idx="162">
                  <c:v>547.85820382636166</c:v>
                </c:pt>
                <c:pt idx="163">
                  <c:v>551.47328804166978</c:v>
                </c:pt>
                <c:pt idx="164">
                  <c:v>554.536192997841</c:v>
                </c:pt>
                <c:pt idx="165">
                  <c:v>546.20245074339039</c:v>
                </c:pt>
                <c:pt idx="166">
                  <c:v>540.02469598891923</c:v>
                </c:pt>
                <c:pt idx="167">
                  <c:v>552.33811991451796</c:v>
                </c:pt>
                <c:pt idx="168">
                  <c:v>570.64070065374096</c:v>
                </c:pt>
                <c:pt idx="169">
                  <c:v>564.21834606985908</c:v>
                </c:pt>
                <c:pt idx="170">
                  <c:v>572.76882191067648</c:v>
                </c:pt>
                <c:pt idx="171">
                  <c:v>591.02428280786864</c:v>
                </c:pt>
                <c:pt idx="172">
                  <c:v>581.27200268763545</c:v>
                </c:pt>
                <c:pt idx="173">
                  <c:v>564.6133465497561</c:v>
                </c:pt>
                <c:pt idx="174">
                  <c:v>571.70145905519303</c:v>
                </c:pt>
                <c:pt idx="175">
                  <c:v>590.20194574983259</c:v>
                </c:pt>
                <c:pt idx="176">
                  <c:v>609.67517239030406</c:v>
                </c:pt>
                <c:pt idx="177">
                  <c:v>602.60901860425724</c:v>
                </c:pt>
                <c:pt idx="178">
                  <c:v>598.14997527289825</c:v>
                </c:pt>
                <c:pt idx="179">
                  <c:v>622.79212048062084</c:v>
                </c:pt>
                <c:pt idx="180">
                  <c:v>632.8904505340422</c:v>
                </c:pt>
                <c:pt idx="181">
                  <c:v>649.01788419613661</c:v>
                </c:pt>
                <c:pt idx="182">
                  <c:v>645.83023640159877</c:v>
                </c:pt>
                <c:pt idx="183">
                  <c:v>636.23732586969197</c:v>
                </c:pt>
                <c:pt idx="184">
                  <c:v>609.12935849895507</c:v>
                </c:pt>
                <c:pt idx="185">
                  <c:v>606.40172467490265</c:v>
                </c:pt>
                <c:pt idx="186">
                  <c:v>625.18770926104935</c:v>
                </c:pt>
                <c:pt idx="187">
                  <c:v>638.76326048605074</c:v>
                </c:pt>
                <c:pt idx="188">
                  <c:v>618.18424217482925</c:v>
                </c:pt>
                <c:pt idx="189">
                  <c:v>620.45305221769115</c:v>
                </c:pt>
                <c:pt idx="190">
                  <c:v>611.35394565478816</c:v>
                </c:pt>
                <c:pt idx="191">
                  <c:v>609.67314381436881</c:v>
                </c:pt>
                <c:pt idx="192">
                  <c:v>593.56233881307242</c:v>
                </c:pt>
                <c:pt idx="193">
                  <c:v>599.41520571263447</c:v>
                </c:pt>
                <c:pt idx="194">
                  <c:v>608.23837721623124</c:v>
                </c:pt>
                <c:pt idx="195">
                  <c:v>605.54472699643429</c:v>
                </c:pt>
                <c:pt idx="196">
                  <c:v>608.05126383230254</c:v>
                </c:pt>
                <c:pt idx="197">
                  <c:v>605.43753197525484</c:v>
                </c:pt>
                <c:pt idx="198">
                  <c:v>587.84335704900161</c:v>
                </c:pt>
                <c:pt idx="199">
                  <c:v>576.05350697415906</c:v>
                </c:pt>
                <c:pt idx="200">
                  <c:v>594.95135365081103</c:v>
                </c:pt>
                <c:pt idx="201">
                  <c:v>605.31366979948064</c:v>
                </c:pt>
                <c:pt idx="202">
                  <c:v>595.25039446771825</c:v>
                </c:pt>
                <c:pt idx="203">
                  <c:v>583.53266802140752</c:v>
                </c:pt>
                <c:pt idx="204">
                  <c:v>571.27634473466924</c:v>
                </c:pt>
                <c:pt idx="205">
                  <c:v>593.82258881077132</c:v>
                </c:pt>
                <c:pt idx="206">
                  <c:v>587.11865289714649</c:v>
                </c:pt>
                <c:pt idx="207">
                  <c:v>600.1804841566684</c:v>
                </c:pt>
                <c:pt idx="208">
                  <c:v>583.85340972239953</c:v>
                </c:pt>
                <c:pt idx="209">
                  <c:v>595.57938936068172</c:v>
                </c:pt>
                <c:pt idx="210">
                  <c:v>603.34017781178102</c:v>
                </c:pt>
                <c:pt idx="211">
                  <c:v>596.66515718237349</c:v>
                </c:pt>
                <c:pt idx="212">
                  <c:v>563.12140896434983</c:v>
                </c:pt>
                <c:pt idx="213">
                  <c:v>565.3259821299207</c:v>
                </c:pt>
                <c:pt idx="214">
                  <c:v>578.71800046075668</c:v>
                </c:pt>
                <c:pt idx="215">
                  <c:v>573.0359263006568</c:v>
                </c:pt>
                <c:pt idx="216">
                  <c:v>571.82875123120209</c:v>
                </c:pt>
                <c:pt idx="217">
                  <c:v>560.51861242997711</c:v>
                </c:pt>
                <c:pt idx="218">
                  <c:v>562.47985727047671</c:v>
                </c:pt>
                <c:pt idx="219">
                  <c:v>569.42393922226449</c:v>
                </c:pt>
                <c:pt idx="220">
                  <c:v>578.61715530052504</c:v>
                </c:pt>
                <c:pt idx="221">
                  <c:v>549.82520648217917</c:v>
                </c:pt>
                <c:pt idx="222">
                  <c:v>572.02617956363429</c:v>
                </c:pt>
                <c:pt idx="223">
                  <c:v>557.71415402640298</c:v>
                </c:pt>
                <c:pt idx="224">
                  <c:v>540.89006726936839</c:v>
                </c:pt>
                <c:pt idx="225">
                  <c:v>559.25015870730238</c:v>
                </c:pt>
                <c:pt idx="226">
                  <c:v>551.64048817719174</c:v>
                </c:pt>
                <c:pt idx="227">
                  <c:v>564.46612161290693</c:v>
                </c:pt>
                <c:pt idx="228">
                  <c:v>568.10203381129872</c:v>
                </c:pt>
                <c:pt idx="229">
                  <c:v>569.19422731566362</c:v>
                </c:pt>
                <c:pt idx="230">
                  <c:v>591.39708903946166</c:v>
                </c:pt>
                <c:pt idx="231">
                  <c:v>612.80855469216851</c:v>
                </c:pt>
                <c:pt idx="232">
                  <c:v>615.2746539842434</c:v>
                </c:pt>
                <c:pt idx="233">
                  <c:v>600.89779187505212</c:v>
                </c:pt>
                <c:pt idx="234">
                  <c:v>615.80280782156206</c:v>
                </c:pt>
                <c:pt idx="235">
                  <c:v>623.73153176573885</c:v>
                </c:pt>
                <c:pt idx="236">
                  <c:v>632.60214738277477</c:v>
                </c:pt>
                <c:pt idx="237">
                  <c:v>645.94332518203225</c:v>
                </c:pt>
                <c:pt idx="238">
                  <c:v>632.98272397645667</c:v>
                </c:pt>
                <c:pt idx="239">
                  <c:v>628.80489100219097</c:v>
                </c:pt>
                <c:pt idx="240">
                  <c:v>643.43099499193227</c:v>
                </c:pt>
                <c:pt idx="241">
                  <c:v>615.64944575006268</c:v>
                </c:pt>
                <c:pt idx="242">
                  <c:v>615.40577976730265</c:v>
                </c:pt>
                <c:pt idx="243">
                  <c:v>650.49951476036972</c:v>
                </c:pt>
                <c:pt idx="244">
                  <c:v>656.90344486495189</c:v>
                </c:pt>
                <c:pt idx="245">
                  <c:v>649.67316904926304</c:v>
                </c:pt>
                <c:pt idx="246">
                  <c:v>644.23713453421567</c:v>
                </c:pt>
                <c:pt idx="247">
                  <c:v>617.12828908023926</c:v>
                </c:pt>
                <c:pt idx="248">
                  <c:v>616.13038275571625</c:v>
                </c:pt>
                <c:pt idx="249">
                  <c:v>600.90265357550754</c:v>
                </c:pt>
                <c:pt idx="250">
                  <c:v>607.37166209669738</c:v>
                </c:pt>
                <c:pt idx="251">
                  <c:v>584.05999999999995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1-4443-8B11-95166AA74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90591"/>
        <c:axId val="73780735"/>
      </c:lineChart>
      <c:catAx>
        <c:axId val="7379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0735"/>
        <c:crosses val="autoZero"/>
        <c:auto val="1"/>
        <c:lblAlgn val="ctr"/>
        <c:lblOffset val="100"/>
        <c:noMultiLvlLbl val="0"/>
      </c:catAx>
      <c:valAx>
        <c:axId val="737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9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Morgan!$W$3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Morgan!$W$4:$W$136</c:f>
              <c:numCache>
                <c:formatCode>General</c:formatCode>
                <c:ptCount val="133"/>
              </c:numCache>
            </c:numRef>
          </c:val>
          <c:extLst>
            <c:ext xmlns:c16="http://schemas.microsoft.com/office/drawing/2014/chart" uri="{C3380CC4-5D6E-409C-BE32-E72D297353CC}">
              <c16:uniqueId val="{00000000-89A3-4D4C-891E-CD7A46A4CEE7}"/>
            </c:ext>
          </c:extLst>
        </c:ser>
        <c:ser>
          <c:idx val="1"/>
          <c:order val="1"/>
          <c:tx>
            <c:strRef>
              <c:f>Morgan!$X$3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Morgan!$X$4:$X$136</c:f>
              <c:numCache>
                <c:formatCode>General</c:formatCode>
                <c:ptCount val="133"/>
              </c:numCache>
            </c:numRef>
          </c:val>
          <c:extLst>
            <c:ext xmlns:c16="http://schemas.microsoft.com/office/drawing/2014/chart" uri="{C3380CC4-5D6E-409C-BE32-E72D297353CC}">
              <c16:uniqueId val="{00000001-89A3-4D4C-891E-CD7A46A4C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1214656"/>
        <c:axId val="1671201664"/>
      </c:barChart>
      <c:lineChart>
        <c:grouping val="standard"/>
        <c:varyColors val="0"/>
        <c:ser>
          <c:idx val="2"/>
          <c:order val="2"/>
          <c:tx>
            <c:strRef>
              <c:f>Morgan!$Y$3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Morgan!$Y$4:$Y$136</c:f>
              <c:numCache>
                <c:formatCode>General</c:formatCode>
                <c:ptCount val="13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A3-4D4C-891E-CD7A46A4C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214656"/>
        <c:axId val="1671201664"/>
      </c:lineChart>
      <c:catAx>
        <c:axId val="1671214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01664"/>
        <c:crosses val="autoZero"/>
        <c:auto val="1"/>
        <c:lblAlgn val="ctr"/>
        <c:lblOffset val="100"/>
        <c:noMultiLvlLbl val="0"/>
      </c:catAx>
      <c:valAx>
        <c:axId val="167120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21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Morgan!$X$1:$X$2</c:f>
              <c:strCache>
                <c:ptCount val="2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Morgan!$W$3:$W$255</c:f>
              <c:numCache>
                <c:formatCode>General</c:formatCode>
                <c:ptCount val="253"/>
              </c:numCache>
            </c:numRef>
          </c:cat>
          <c:val>
            <c:numRef>
              <c:f>Morgan!$X$3:$X$255</c:f>
              <c:numCache>
                <c:formatCode>General</c:formatCode>
                <c:ptCount val="253"/>
              </c:numCache>
            </c:numRef>
          </c:val>
          <c:extLst>
            <c:ext xmlns:c16="http://schemas.microsoft.com/office/drawing/2014/chart" uri="{C3380CC4-5D6E-409C-BE32-E72D297353CC}">
              <c16:uniqueId val="{00000000-F2BE-3D49-BAC2-3E79FA59B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263872"/>
        <c:axId val="1600241664"/>
      </c:barChart>
      <c:lineChart>
        <c:grouping val="standard"/>
        <c:varyColors val="0"/>
        <c:ser>
          <c:idx val="1"/>
          <c:order val="1"/>
          <c:tx>
            <c:strRef>
              <c:f>Morgan!$Y$1:$Y$2</c:f>
              <c:strCache>
                <c:ptCount val="2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Morgan!$W$3:$W$255</c:f>
              <c:numCache>
                <c:formatCode>General</c:formatCode>
                <c:ptCount val="253"/>
              </c:numCache>
            </c:numRef>
          </c:cat>
          <c:val>
            <c:numRef>
              <c:f>Morgan!$Y$3:$Y$255</c:f>
              <c:numCache>
                <c:formatCode>General</c:formatCode>
                <c:ptCount val="25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BE-3D49-BAC2-3E79FA59B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263872"/>
        <c:axId val="1600241664"/>
      </c:lineChart>
      <c:catAx>
        <c:axId val="160026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241664"/>
        <c:crosses val="autoZero"/>
        <c:auto val="1"/>
        <c:lblAlgn val="ctr"/>
        <c:lblOffset val="100"/>
        <c:noMultiLvlLbl val="0"/>
      </c:catAx>
      <c:valAx>
        <c:axId val="160024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26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Morgan!$I$1:$I$3</c:f>
              <c:strCache>
                <c:ptCount val="3"/>
                <c:pt idx="2">
                  <c:v>Daily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Morgan!$B$4:$B$254</c:f>
              <c:strCache>
                <c:ptCount val="251"/>
                <c:pt idx="0">
                  <c:v>03/18/2026</c:v>
                </c:pt>
                <c:pt idx="1">
                  <c:v>03/17/2026</c:v>
                </c:pt>
                <c:pt idx="2">
                  <c:v>03/16/2026</c:v>
                </c:pt>
                <c:pt idx="3">
                  <c:v>03/13/2026</c:v>
                </c:pt>
                <c:pt idx="4">
                  <c:v>03/12/2026</c:v>
                </c:pt>
                <c:pt idx="5">
                  <c:v>03/11/2026</c:v>
                </c:pt>
                <c:pt idx="6">
                  <c:v>03/10/2026</c:v>
                </c:pt>
                <c:pt idx="7">
                  <c:v>03/09/2026</c:v>
                </c:pt>
                <c:pt idx="8">
                  <c:v>03/06/2026</c:v>
                </c:pt>
                <c:pt idx="9">
                  <c:v>03/05/2026</c:v>
                </c:pt>
                <c:pt idx="10">
                  <c:v>03/04/2026</c:v>
                </c:pt>
                <c:pt idx="11">
                  <c:v>03/03/2026</c:v>
                </c:pt>
                <c:pt idx="12">
                  <c:v>03/02/2026</c:v>
                </c:pt>
                <c:pt idx="13">
                  <c:v>02/27/2026</c:v>
                </c:pt>
                <c:pt idx="14">
                  <c:v>02/26/2026</c:v>
                </c:pt>
                <c:pt idx="15">
                  <c:v>02/25/2026</c:v>
                </c:pt>
                <c:pt idx="16">
                  <c:v>02/24/2026</c:v>
                </c:pt>
                <c:pt idx="17">
                  <c:v>02/23/2026</c:v>
                </c:pt>
                <c:pt idx="18">
                  <c:v>02/20/2026</c:v>
                </c:pt>
                <c:pt idx="19">
                  <c:v>02/19/2026</c:v>
                </c:pt>
                <c:pt idx="20">
                  <c:v>02/18/2026</c:v>
                </c:pt>
                <c:pt idx="21">
                  <c:v>02/17/2026</c:v>
                </c:pt>
                <c:pt idx="22">
                  <c:v>02/13/2026</c:v>
                </c:pt>
                <c:pt idx="23">
                  <c:v>02/12/2026</c:v>
                </c:pt>
                <c:pt idx="24">
                  <c:v>02/11/2026</c:v>
                </c:pt>
                <c:pt idx="25">
                  <c:v>02/10/2026</c:v>
                </c:pt>
                <c:pt idx="26">
                  <c:v>02/09/2026</c:v>
                </c:pt>
                <c:pt idx="27">
                  <c:v>02/06/2026</c:v>
                </c:pt>
                <c:pt idx="28">
                  <c:v>02/05/2026</c:v>
                </c:pt>
                <c:pt idx="29">
                  <c:v>02/04/2026</c:v>
                </c:pt>
                <c:pt idx="30">
                  <c:v>02/03/2026</c:v>
                </c:pt>
                <c:pt idx="31">
                  <c:v>02/02/2026</c:v>
                </c:pt>
                <c:pt idx="32">
                  <c:v>01/30/2026</c:v>
                </c:pt>
                <c:pt idx="33">
                  <c:v>01/29/2026</c:v>
                </c:pt>
                <c:pt idx="34">
                  <c:v>01/28/2026</c:v>
                </c:pt>
                <c:pt idx="35">
                  <c:v>01/27/2026</c:v>
                </c:pt>
                <c:pt idx="36">
                  <c:v>01/26/2026</c:v>
                </c:pt>
                <c:pt idx="37">
                  <c:v>01/23/2026</c:v>
                </c:pt>
                <c:pt idx="38">
                  <c:v>01/22/2026</c:v>
                </c:pt>
                <c:pt idx="39">
                  <c:v>01/21/2026</c:v>
                </c:pt>
                <c:pt idx="40">
                  <c:v>01/20/2026</c:v>
                </c:pt>
                <c:pt idx="41">
                  <c:v>01/16/2026</c:v>
                </c:pt>
                <c:pt idx="42">
                  <c:v>01/15/2026</c:v>
                </c:pt>
                <c:pt idx="43">
                  <c:v>01/14/2026</c:v>
                </c:pt>
                <c:pt idx="44">
                  <c:v>01/13/2026</c:v>
                </c:pt>
                <c:pt idx="45">
                  <c:v>01/12/2026</c:v>
                </c:pt>
                <c:pt idx="46">
                  <c:v>01/09/2026</c:v>
                </c:pt>
                <c:pt idx="47">
                  <c:v>01/08/2026</c:v>
                </c:pt>
                <c:pt idx="48">
                  <c:v>01/07/2026</c:v>
                </c:pt>
                <c:pt idx="49">
                  <c:v>01/06/2026</c:v>
                </c:pt>
                <c:pt idx="50">
                  <c:v>01/05/2026</c:v>
                </c:pt>
                <c:pt idx="51">
                  <c:v>01/02/2026</c:v>
                </c:pt>
                <c:pt idx="52">
                  <c:v>12/31/2025</c:v>
                </c:pt>
                <c:pt idx="53">
                  <c:v>12/30/2025</c:v>
                </c:pt>
                <c:pt idx="54">
                  <c:v>12/29/2025</c:v>
                </c:pt>
                <c:pt idx="55">
                  <c:v>12/26/2025</c:v>
                </c:pt>
                <c:pt idx="56">
                  <c:v>12/24/2025</c:v>
                </c:pt>
                <c:pt idx="57">
                  <c:v>12/23/2025</c:v>
                </c:pt>
                <c:pt idx="58">
                  <c:v>12/22/2025</c:v>
                </c:pt>
                <c:pt idx="59">
                  <c:v>12/19/2025</c:v>
                </c:pt>
                <c:pt idx="60">
                  <c:v>12/18/2025</c:v>
                </c:pt>
                <c:pt idx="61">
                  <c:v>12/17/2025</c:v>
                </c:pt>
                <c:pt idx="62">
                  <c:v>12/16/2025</c:v>
                </c:pt>
                <c:pt idx="63">
                  <c:v>12/15/2025</c:v>
                </c:pt>
                <c:pt idx="64">
                  <c:v>12/12/2025</c:v>
                </c:pt>
                <c:pt idx="65">
                  <c:v>12/11/2025</c:v>
                </c:pt>
                <c:pt idx="66">
                  <c:v>12/10/2025</c:v>
                </c:pt>
                <c:pt idx="67">
                  <c:v>12/09/2025</c:v>
                </c:pt>
                <c:pt idx="68">
                  <c:v>12/08/2025</c:v>
                </c:pt>
                <c:pt idx="69">
                  <c:v>12/05/2025</c:v>
                </c:pt>
                <c:pt idx="70">
                  <c:v>12/04/2025</c:v>
                </c:pt>
                <c:pt idx="71">
                  <c:v>12/03/2025</c:v>
                </c:pt>
                <c:pt idx="72">
                  <c:v>12/02/2025</c:v>
                </c:pt>
                <c:pt idx="73">
                  <c:v>12/01/2025</c:v>
                </c:pt>
                <c:pt idx="74">
                  <c:v>11/28/2025</c:v>
                </c:pt>
                <c:pt idx="75">
                  <c:v>11/26/2025</c:v>
                </c:pt>
                <c:pt idx="76">
                  <c:v>11/25/2025</c:v>
                </c:pt>
                <c:pt idx="77">
                  <c:v>11/24/2025</c:v>
                </c:pt>
                <c:pt idx="78">
                  <c:v>11/21/2025</c:v>
                </c:pt>
                <c:pt idx="79">
                  <c:v>11/20/2025</c:v>
                </c:pt>
                <c:pt idx="80">
                  <c:v>11/19/2025</c:v>
                </c:pt>
                <c:pt idx="81">
                  <c:v>11/18/2025</c:v>
                </c:pt>
                <c:pt idx="82">
                  <c:v>11/17/2025</c:v>
                </c:pt>
                <c:pt idx="83">
                  <c:v>11/14/2025</c:v>
                </c:pt>
                <c:pt idx="84">
                  <c:v>11/13/2025</c:v>
                </c:pt>
                <c:pt idx="85">
                  <c:v>11/12/2025</c:v>
                </c:pt>
                <c:pt idx="86">
                  <c:v>11/11/2025</c:v>
                </c:pt>
                <c:pt idx="87">
                  <c:v>11/10/2025</c:v>
                </c:pt>
                <c:pt idx="88">
                  <c:v>11/07/2025</c:v>
                </c:pt>
                <c:pt idx="89">
                  <c:v>11/06/2025</c:v>
                </c:pt>
                <c:pt idx="90">
                  <c:v>11/05/2025</c:v>
                </c:pt>
                <c:pt idx="91">
                  <c:v>11/04/2025</c:v>
                </c:pt>
                <c:pt idx="92">
                  <c:v>11/03/2025</c:v>
                </c:pt>
                <c:pt idx="93">
                  <c:v>10/31/2025</c:v>
                </c:pt>
                <c:pt idx="94">
                  <c:v>10/30/2025</c:v>
                </c:pt>
                <c:pt idx="95">
                  <c:v>10/29/2025</c:v>
                </c:pt>
                <c:pt idx="96">
                  <c:v>10/28/2025</c:v>
                </c:pt>
                <c:pt idx="97">
                  <c:v>10/27/2025</c:v>
                </c:pt>
                <c:pt idx="98">
                  <c:v>10/24/2025</c:v>
                </c:pt>
                <c:pt idx="99">
                  <c:v>10/23/2025</c:v>
                </c:pt>
                <c:pt idx="100">
                  <c:v>10/22/2025</c:v>
                </c:pt>
                <c:pt idx="101">
                  <c:v>10/21/2025</c:v>
                </c:pt>
                <c:pt idx="102">
                  <c:v>10/20/2025</c:v>
                </c:pt>
                <c:pt idx="103">
                  <c:v>10/17/2025</c:v>
                </c:pt>
                <c:pt idx="104">
                  <c:v>10/16/2025</c:v>
                </c:pt>
                <c:pt idx="105">
                  <c:v>10/15/2025</c:v>
                </c:pt>
                <c:pt idx="106">
                  <c:v>10/14/2025</c:v>
                </c:pt>
                <c:pt idx="107">
                  <c:v>10/13/2025</c:v>
                </c:pt>
                <c:pt idx="108">
                  <c:v>10/10/2025</c:v>
                </c:pt>
                <c:pt idx="109">
                  <c:v>10/09/2025</c:v>
                </c:pt>
                <c:pt idx="110">
                  <c:v>10/08/2025</c:v>
                </c:pt>
                <c:pt idx="111">
                  <c:v>10/07/2025</c:v>
                </c:pt>
                <c:pt idx="112">
                  <c:v>10/06/2025</c:v>
                </c:pt>
                <c:pt idx="113">
                  <c:v>10/03/2025</c:v>
                </c:pt>
                <c:pt idx="114">
                  <c:v>10/02/2025</c:v>
                </c:pt>
                <c:pt idx="115">
                  <c:v>10/01/2025</c:v>
                </c:pt>
                <c:pt idx="116">
                  <c:v>09/30/2025</c:v>
                </c:pt>
                <c:pt idx="117">
                  <c:v>09/29/2025</c:v>
                </c:pt>
                <c:pt idx="118">
                  <c:v>09/26/2025</c:v>
                </c:pt>
                <c:pt idx="119">
                  <c:v>09/25/2025</c:v>
                </c:pt>
                <c:pt idx="120">
                  <c:v>09/24/2025</c:v>
                </c:pt>
                <c:pt idx="121">
                  <c:v>09/23/2025</c:v>
                </c:pt>
                <c:pt idx="122">
                  <c:v>09/22/2025</c:v>
                </c:pt>
                <c:pt idx="123">
                  <c:v>09/19/2025</c:v>
                </c:pt>
                <c:pt idx="124">
                  <c:v>09/18/2025</c:v>
                </c:pt>
                <c:pt idx="125">
                  <c:v>09/17/2025</c:v>
                </c:pt>
                <c:pt idx="126">
                  <c:v>09/16/2025</c:v>
                </c:pt>
                <c:pt idx="127">
                  <c:v>09/15/2025</c:v>
                </c:pt>
                <c:pt idx="128">
                  <c:v>09/12/2025</c:v>
                </c:pt>
                <c:pt idx="129">
                  <c:v>09/11/2025</c:v>
                </c:pt>
                <c:pt idx="130">
                  <c:v>09/10/2025</c:v>
                </c:pt>
                <c:pt idx="131">
                  <c:v>09/09/2025</c:v>
                </c:pt>
                <c:pt idx="132">
                  <c:v>09/08/2025</c:v>
                </c:pt>
                <c:pt idx="133">
                  <c:v>09/05/2025</c:v>
                </c:pt>
                <c:pt idx="134">
                  <c:v>09/04/2025</c:v>
                </c:pt>
                <c:pt idx="135">
                  <c:v>09/03/2025</c:v>
                </c:pt>
                <c:pt idx="136">
                  <c:v>09/02/2025</c:v>
                </c:pt>
                <c:pt idx="137">
                  <c:v>08/29/2025</c:v>
                </c:pt>
                <c:pt idx="138">
                  <c:v>08/28/2025</c:v>
                </c:pt>
                <c:pt idx="139">
                  <c:v>08/27/2025</c:v>
                </c:pt>
                <c:pt idx="140">
                  <c:v>08/26/2025</c:v>
                </c:pt>
                <c:pt idx="141">
                  <c:v>08/25/2025</c:v>
                </c:pt>
                <c:pt idx="142">
                  <c:v>08/22/2025</c:v>
                </c:pt>
                <c:pt idx="143">
                  <c:v>08/21/2025</c:v>
                </c:pt>
                <c:pt idx="144">
                  <c:v>08/20/2025</c:v>
                </c:pt>
                <c:pt idx="145">
                  <c:v>08/19/2025</c:v>
                </c:pt>
                <c:pt idx="146">
                  <c:v>08/18/2025</c:v>
                </c:pt>
                <c:pt idx="147">
                  <c:v>08/15/2025</c:v>
                </c:pt>
                <c:pt idx="148">
                  <c:v>08/14/2025</c:v>
                </c:pt>
                <c:pt idx="149">
                  <c:v>08/13/2025</c:v>
                </c:pt>
                <c:pt idx="150">
                  <c:v>08/12/2025</c:v>
                </c:pt>
                <c:pt idx="151">
                  <c:v>08/11/2025</c:v>
                </c:pt>
                <c:pt idx="152">
                  <c:v>08/08/2025</c:v>
                </c:pt>
                <c:pt idx="153">
                  <c:v>08/07/2025</c:v>
                </c:pt>
                <c:pt idx="154">
                  <c:v>08/06/2025</c:v>
                </c:pt>
                <c:pt idx="155">
                  <c:v>08/05/2025</c:v>
                </c:pt>
                <c:pt idx="156">
                  <c:v>08/04/2025</c:v>
                </c:pt>
                <c:pt idx="157">
                  <c:v>08/01/2025</c:v>
                </c:pt>
                <c:pt idx="158">
                  <c:v>07/31/2025</c:v>
                </c:pt>
                <c:pt idx="159">
                  <c:v>07/30/2025</c:v>
                </c:pt>
                <c:pt idx="160">
                  <c:v>07/29/2025</c:v>
                </c:pt>
                <c:pt idx="161">
                  <c:v>07/28/2025</c:v>
                </c:pt>
                <c:pt idx="162">
                  <c:v>07/25/2025</c:v>
                </c:pt>
                <c:pt idx="163">
                  <c:v>07/24/2025</c:v>
                </c:pt>
                <c:pt idx="164">
                  <c:v>07/23/2025</c:v>
                </c:pt>
                <c:pt idx="165">
                  <c:v>07/22/2025</c:v>
                </c:pt>
                <c:pt idx="166">
                  <c:v>07/21/2025</c:v>
                </c:pt>
                <c:pt idx="167">
                  <c:v>07/18/2025</c:v>
                </c:pt>
                <c:pt idx="168">
                  <c:v>07/17/2025</c:v>
                </c:pt>
                <c:pt idx="169">
                  <c:v>07/16/2025</c:v>
                </c:pt>
                <c:pt idx="170">
                  <c:v>07/15/2025</c:v>
                </c:pt>
                <c:pt idx="171">
                  <c:v>07/14/2025</c:v>
                </c:pt>
                <c:pt idx="172">
                  <c:v>07/11/2025</c:v>
                </c:pt>
                <c:pt idx="173">
                  <c:v>07/10/2025</c:v>
                </c:pt>
                <c:pt idx="174">
                  <c:v>07/09/2025</c:v>
                </c:pt>
                <c:pt idx="175">
                  <c:v>07/08/2025</c:v>
                </c:pt>
                <c:pt idx="176">
                  <c:v>07/07/2025</c:v>
                </c:pt>
                <c:pt idx="177">
                  <c:v>07/03/2025</c:v>
                </c:pt>
                <c:pt idx="178">
                  <c:v>07/02/2025</c:v>
                </c:pt>
                <c:pt idx="179">
                  <c:v>07/01/2025</c:v>
                </c:pt>
                <c:pt idx="180">
                  <c:v>06/30/2025</c:v>
                </c:pt>
                <c:pt idx="181">
                  <c:v>06/27/2025</c:v>
                </c:pt>
                <c:pt idx="182">
                  <c:v>06/26/2025</c:v>
                </c:pt>
                <c:pt idx="183">
                  <c:v>06/25/2025</c:v>
                </c:pt>
                <c:pt idx="184">
                  <c:v>06/24/2025</c:v>
                </c:pt>
                <c:pt idx="185">
                  <c:v>06/23/2025</c:v>
                </c:pt>
                <c:pt idx="186">
                  <c:v>06/20/2025</c:v>
                </c:pt>
                <c:pt idx="187">
                  <c:v>06/18/2025</c:v>
                </c:pt>
                <c:pt idx="188">
                  <c:v>06/17/2025</c:v>
                </c:pt>
                <c:pt idx="189">
                  <c:v>06/16/2025</c:v>
                </c:pt>
                <c:pt idx="190">
                  <c:v>06/13/2025</c:v>
                </c:pt>
                <c:pt idx="191">
                  <c:v>06/12/2025</c:v>
                </c:pt>
                <c:pt idx="192">
                  <c:v>06/11/2025</c:v>
                </c:pt>
                <c:pt idx="193">
                  <c:v>06/10/2025</c:v>
                </c:pt>
                <c:pt idx="194">
                  <c:v>06/09/2025</c:v>
                </c:pt>
                <c:pt idx="195">
                  <c:v>06/06/2025</c:v>
                </c:pt>
                <c:pt idx="196">
                  <c:v>06/05/2025</c:v>
                </c:pt>
                <c:pt idx="197">
                  <c:v>06/04/2025</c:v>
                </c:pt>
                <c:pt idx="198">
                  <c:v>06/03/2025</c:v>
                </c:pt>
                <c:pt idx="199">
                  <c:v>06/02/2025</c:v>
                </c:pt>
                <c:pt idx="200">
                  <c:v>05/30/2025</c:v>
                </c:pt>
                <c:pt idx="201">
                  <c:v>05/29/2025</c:v>
                </c:pt>
                <c:pt idx="202">
                  <c:v>05/28/2025</c:v>
                </c:pt>
                <c:pt idx="203">
                  <c:v>05/27/2025</c:v>
                </c:pt>
                <c:pt idx="204">
                  <c:v>05/23/2025</c:v>
                </c:pt>
                <c:pt idx="205">
                  <c:v>05/22/2025</c:v>
                </c:pt>
                <c:pt idx="206">
                  <c:v>05/21/2025</c:v>
                </c:pt>
                <c:pt idx="207">
                  <c:v>05/20/2025</c:v>
                </c:pt>
                <c:pt idx="208">
                  <c:v>05/19/2025</c:v>
                </c:pt>
                <c:pt idx="209">
                  <c:v>05/16/2025</c:v>
                </c:pt>
                <c:pt idx="210">
                  <c:v>05/15/2025</c:v>
                </c:pt>
                <c:pt idx="211">
                  <c:v>05/14/2025</c:v>
                </c:pt>
                <c:pt idx="212">
                  <c:v>05/13/2025</c:v>
                </c:pt>
                <c:pt idx="213">
                  <c:v>05/12/2025</c:v>
                </c:pt>
                <c:pt idx="214">
                  <c:v>05/09/2025</c:v>
                </c:pt>
                <c:pt idx="215">
                  <c:v>05/08/2025</c:v>
                </c:pt>
                <c:pt idx="216">
                  <c:v>05/07/2025</c:v>
                </c:pt>
                <c:pt idx="217">
                  <c:v>05/06/2025</c:v>
                </c:pt>
                <c:pt idx="218">
                  <c:v>05/05/2025</c:v>
                </c:pt>
                <c:pt idx="219">
                  <c:v>05/02/2025</c:v>
                </c:pt>
                <c:pt idx="220">
                  <c:v>05/01/2025</c:v>
                </c:pt>
                <c:pt idx="221">
                  <c:v>04/30/2025</c:v>
                </c:pt>
                <c:pt idx="222">
                  <c:v>04/29/2025</c:v>
                </c:pt>
                <c:pt idx="223">
                  <c:v>04/28/2025</c:v>
                </c:pt>
                <c:pt idx="224">
                  <c:v>04/25/2025</c:v>
                </c:pt>
                <c:pt idx="225">
                  <c:v>04/24/2025</c:v>
                </c:pt>
                <c:pt idx="226">
                  <c:v>04/23/2025</c:v>
                </c:pt>
                <c:pt idx="227">
                  <c:v>04/22/2025</c:v>
                </c:pt>
                <c:pt idx="228">
                  <c:v>04/21/2025</c:v>
                </c:pt>
                <c:pt idx="229">
                  <c:v>04/17/2025</c:v>
                </c:pt>
                <c:pt idx="230">
                  <c:v>04/16/2025</c:v>
                </c:pt>
                <c:pt idx="231">
                  <c:v>04/15/2025</c:v>
                </c:pt>
                <c:pt idx="232">
                  <c:v>04/14/2025</c:v>
                </c:pt>
                <c:pt idx="233">
                  <c:v>04/11/2025</c:v>
                </c:pt>
                <c:pt idx="234">
                  <c:v>04/10/2025</c:v>
                </c:pt>
                <c:pt idx="235">
                  <c:v>04/09/2025</c:v>
                </c:pt>
                <c:pt idx="236">
                  <c:v>04/08/2025</c:v>
                </c:pt>
                <c:pt idx="237">
                  <c:v>04/07/2025</c:v>
                </c:pt>
                <c:pt idx="238">
                  <c:v>04/04/2025</c:v>
                </c:pt>
                <c:pt idx="239">
                  <c:v>04/03/2025</c:v>
                </c:pt>
                <c:pt idx="240">
                  <c:v>04/02/2025</c:v>
                </c:pt>
                <c:pt idx="241">
                  <c:v>04/01/2025</c:v>
                </c:pt>
                <c:pt idx="242">
                  <c:v>03/31/2025</c:v>
                </c:pt>
                <c:pt idx="243">
                  <c:v>03/28/2025</c:v>
                </c:pt>
                <c:pt idx="244">
                  <c:v>03/27/2025</c:v>
                </c:pt>
                <c:pt idx="245">
                  <c:v>03/26/2025</c:v>
                </c:pt>
                <c:pt idx="246">
                  <c:v>03/25/2025</c:v>
                </c:pt>
                <c:pt idx="247">
                  <c:v>03/24/2025</c:v>
                </c:pt>
                <c:pt idx="248">
                  <c:v>03/21/2025</c:v>
                </c:pt>
                <c:pt idx="249">
                  <c:v>03/20/2025</c:v>
                </c:pt>
                <c:pt idx="250">
                  <c:v>03/19/2025</c:v>
                </c:pt>
              </c:strCache>
            </c:strRef>
          </c:cat>
          <c:val>
            <c:numRef>
              <c:f>Morgan!$I$4:$I$254</c:f>
              <c:numCache>
                <c:formatCode>General</c:formatCode>
                <c:ptCount val="251"/>
                <c:pt idx="0">
                  <c:v>-1.1273275387958748E-2</c:v>
                </c:pt>
                <c:pt idx="1">
                  <c:v>-7.663363131070966E-3</c:v>
                </c:pt>
                <c:pt idx="2">
                  <c:v>2.2141482687535685E-2</c:v>
                </c:pt>
                <c:pt idx="3">
                  <c:v>-3.909787134579723E-2</c:v>
                </c:pt>
                <c:pt idx="4">
                  <c:v>-2.5801097116911365E-2</c:v>
                </c:pt>
                <c:pt idx="5">
                  <c:v>1.2070929628382743E-3</c:v>
                </c:pt>
                <c:pt idx="6">
                  <c:v>1.0265484396793312E-2</c:v>
                </c:pt>
                <c:pt idx="7">
                  <c:v>3.9156559993376305E-3</c:v>
                </c:pt>
                <c:pt idx="8">
                  <c:v>-2.406985969228348E-2</c:v>
                </c:pt>
                <c:pt idx="9">
                  <c:v>-1.0780801547626062E-2</c:v>
                </c:pt>
                <c:pt idx="10">
                  <c:v>1.9126534630763636E-2</c:v>
                </c:pt>
                <c:pt idx="11">
                  <c:v>2.3230234190441124E-3</c:v>
                </c:pt>
                <c:pt idx="12">
                  <c:v>8.265906605673834E-3</c:v>
                </c:pt>
                <c:pt idx="13">
                  <c:v>-1.3530803511980771E-2</c:v>
                </c:pt>
                <c:pt idx="14">
                  <c:v>5.0660061043501514E-3</c:v>
                </c:pt>
                <c:pt idx="15">
                  <c:v>2.2259405191897841E-2</c:v>
                </c:pt>
                <c:pt idx="16">
                  <c:v>3.2117845164565395E-3</c:v>
                </c:pt>
                <c:pt idx="17">
                  <c:v>-2.8480318644857228E-2</c:v>
                </c:pt>
                <c:pt idx="18">
                  <c:v>1.6733188559438616E-2</c:v>
                </c:pt>
                <c:pt idx="19">
                  <c:v>2.4223614329486054E-3</c:v>
                </c:pt>
                <c:pt idx="20">
                  <c:v>6.128626366908918E-3</c:v>
                </c:pt>
                <c:pt idx="21">
                  <c:v>-7.5055122126155283E-4</c:v>
                </c:pt>
                <c:pt idx="22">
                  <c:v>-1.5571275704107101E-2</c:v>
                </c:pt>
                <c:pt idx="23">
                  <c:v>-2.8640562091847066E-2</c:v>
                </c:pt>
                <c:pt idx="24">
                  <c:v>-3.0311876935664728E-3</c:v>
                </c:pt>
                <c:pt idx="25">
                  <c:v>-9.6444209430224248E-3</c:v>
                </c:pt>
                <c:pt idx="26">
                  <c:v>2.3546670100778933E-2</c:v>
                </c:pt>
                <c:pt idx="27">
                  <c:v>-1.3141583016211378E-2</c:v>
                </c:pt>
                <c:pt idx="28">
                  <c:v>1.8219837776207726E-3</c:v>
                </c:pt>
                <c:pt idx="29">
                  <c:v>-3.3383223273137475E-2</c:v>
                </c:pt>
                <c:pt idx="30">
                  <c:v>-2.1043469868402553E-2</c:v>
                </c:pt>
                <c:pt idx="31">
                  <c:v>-1.4182441793284539E-2</c:v>
                </c:pt>
                <c:pt idx="32">
                  <c:v>-2.9985543334720255E-2</c:v>
                </c:pt>
                <c:pt idx="33">
                  <c:v>9.8983399381996406E-2</c:v>
                </c:pt>
                <c:pt idx="34">
                  <c:v>-6.3203609071837974E-3</c:v>
                </c:pt>
                <c:pt idx="35">
                  <c:v>9.0684076294067495E-4</c:v>
                </c:pt>
                <c:pt idx="36">
                  <c:v>2.0434631359186106E-2</c:v>
                </c:pt>
                <c:pt idx="37">
                  <c:v>1.7039734383583749E-2</c:v>
                </c:pt>
                <c:pt idx="38">
                  <c:v>5.5019864670084573E-2</c:v>
                </c:pt>
                <c:pt idx="39">
                  <c:v>1.4526827254198516E-2</c:v>
                </c:pt>
                <c:pt idx="40">
                  <c:v>-2.6349768873769719E-2</c:v>
                </c:pt>
                <c:pt idx="41">
                  <c:v>-8.8634629709893886E-4</c:v>
                </c:pt>
                <c:pt idx="42">
                  <c:v>8.541529865023989E-3</c:v>
                </c:pt>
                <c:pt idx="43">
                  <c:v>-2.4981044111279438E-2</c:v>
                </c:pt>
                <c:pt idx="44">
                  <c:v>-1.7093090510901021E-2</c:v>
                </c:pt>
                <c:pt idx="45">
                  <c:v>-1.712743504331371E-2</c:v>
                </c:pt>
                <c:pt idx="46">
                  <c:v>1.0776629942922611E-2</c:v>
                </c:pt>
                <c:pt idx="47">
                  <c:v>-4.0625659273567649E-3</c:v>
                </c:pt>
                <c:pt idx="48">
                  <c:v>-1.8223843351596436E-2</c:v>
                </c:pt>
                <c:pt idx="49">
                  <c:v>2.7739689307688664E-3</c:v>
                </c:pt>
                <c:pt idx="50">
                  <c:v>1.2801885805584945E-2</c:v>
                </c:pt>
                <c:pt idx="51">
                  <c:v>-1.4773256091003439E-2</c:v>
                </c:pt>
                <c:pt idx="52">
                  <c:v>-8.8384032868802365E-3</c:v>
                </c:pt>
                <c:pt idx="53">
                  <c:v>1.0961578533575711E-2</c:v>
                </c:pt>
                <c:pt idx="54">
                  <c:v>-6.9592861699208086E-3</c:v>
                </c:pt>
                <c:pt idx="55">
                  <c:v>-6.4019935527186433E-3</c:v>
                </c:pt>
                <c:pt idx="56">
                  <c:v>3.9174828147299223E-3</c:v>
                </c:pt>
                <c:pt idx="57">
                  <c:v>5.1868274663631198E-3</c:v>
                </c:pt>
                <c:pt idx="58">
                  <c:v>4.1355236290012698E-3</c:v>
                </c:pt>
                <c:pt idx="59">
                  <c:v>-8.5851708515072289E-3</c:v>
                </c:pt>
                <c:pt idx="60">
                  <c:v>2.2756794666862312E-2</c:v>
                </c:pt>
                <c:pt idx="61">
                  <c:v>-1.1709466817363179E-2</c:v>
                </c:pt>
                <c:pt idx="62">
                  <c:v>1.4778065458138201E-2</c:v>
                </c:pt>
                <c:pt idx="63">
                  <c:v>5.0784322687125183E-3</c:v>
                </c:pt>
                <c:pt idx="64">
                  <c:v>-1.3077121297054184E-2</c:v>
                </c:pt>
                <c:pt idx="65">
                  <c:v>3.9605836058722588E-3</c:v>
                </c:pt>
                <c:pt idx="66">
                  <c:v>-1.0450790938220322E-2</c:v>
                </c:pt>
                <c:pt idx="67">
                  <c:v>-1.4867017046070075E-2</c:v>
                </c:pt>
                <c:pt idx="68">
                  <c:v>-9.8790554389980301E-3</c:v>
                </c:pt>
                <c:pt idx="69">
                  <c:v>1.7813872315050716E-2</c:v>
                </c:pt>
                <c:pt idx="70">
                  <c:v>3.3712353040787235E-2</c:v>
                </c:pt>
                <c:pt idx="71">
                  <c:v>-1.1657861103421041E-2</c:v>
                </c:pt>
                <c:pt idx="72">
                  <c:v>9.6742138232208674E-3</c:v>
                </c:pt>
                <c:pt idx="73">
                  <c:v>-1.0986904641423934E-2</c:v>
                </c:pt>
                <c:pt idx="74">
                  <c:v>2.2379909677471943E-2</c:v>
                </c:pt>
                <c:pt idx="75">
                  <c:v>-4.1107922721108636E-3</c:v>
                </c:pt>
                <c:pt idx="76">
                  <c:v>3.7097916797666386E-2</c:v>
                </c:pt>
                <c:pt idx="77">
                  <c:v>3.1146392438092363E-2</c:v>
                </c:pt>
                <c:pt idx="78">
                  <c:v>8.6192860809539695E-3</c:v>
                </c:pt>
                <c:pt idx="79">
                  <c:v>-1.9839425907619557E-3</c:v>
                </c:pt>
                <c:pt idx="80">
                  <c:v>-1.2407462138730452E-2</c:v>
                </c:pt>
                <c:pt idx="81">
                  <c:v>-7.2018315776940511E-3</c:v>
                </c:pt>
                <c:pt idx="82">
                  <c:v>-1.2299262737631267E-2</c:v>
                </c:pt>
                <c:pt idx="83">
                  <c:v>-7.0529383331230378E-4</c:v>
                </c:pt>
                <c:pt idx="84">
                  <c:v>1.4439251011468812E-3</c:v>
                </c:pt>
                <c:pt idx="85">
                  <c:v>-2.9239436263997831E-2</c:v>
                </c:pt>
                <c:pt idx="86">
                  <c:v>-7.435450988994674E-3</c:v>
                </c:pt>
                <c:pt idx="87">
                  <c:v>1.6035829114971811E-2</c:v>
                </c:pt>
                <c:pt idx="88">
                  <c:v>4.4654086209430233E-3</c:v>
                </c:pt>
                <c:pt idx="89">
                  <c:v>-2.7111606444083058E-2</c:v>
                </c:pt>
                <c:pt idx="90">
                  <c:v>1.3663166631268986E-2</c:v>
                </c:pt>
                <c:pt idx="91">
                  <c:v>-1.6426857286919727E-2</c:v>
                </c:pt>
                <c:pt idx="92">
                  <c:v>-1.6547039441749511E-2</c:v>
                </c:pt>
                <c:pt idx="93">
                  <c:v>-2.7564453358019492E-2</c:v>
                </c:pt>
                <c:pt idx="94">
                  <c:v>-0.12030227049572328</c:v>
                </c:pt>
                <c:pt idx="95">
                  <c:v>3.0603216237601316E-4</c:v>
                </c:pt>
                <c:pt idx="96">
                  <c:v>8.2542307616773058E-4</c:v>
                </c:pt>
                <c:pt idx="97">
                  <c:v>1.6734432069693383E-2</c:v>
                </c:pt>
                <c:pt idx="98">
                  <c:v>5.9224819258840711E-3</c:v>
                </c:pt>
                <c:pt idx="99">
                  <c:v>8.0413794616696066E-4</c:v>
                </c:pt>
                <c:pt idx="100">
                  <c:v>1.9090735596805075E-4</c:v>
                </c:pt>
                <c:pt idx="101">
                  <c:v>1.501255877546015E-3</c:v>
                </c:pt>
                <c:pt idx="102">
                  <c:v>2.1055443374617511E-2</c:v>
                </c:pt>
                <c:pt idx="103">
                  <c:v>6.7810628740634371E-3</c:v>
                </c:pt>
                <c:pt idx="104">
                  <c:v>-7.6664104307875292E-3</c:v>
                </c:pt>
                <c:pt idx="105">
                  <c:v>1.248088000402614E-2</c:v>
                </c:pt>
                <c:pt idx="106">
                  <c:v>-9.8993331316377109E-3</c:v>
                </c:pt>
                <c:pt idx="107">
                  <c:v>1.4637840530419055E-2</c:v>
                </c:pt>
                <c:pt idx="108">
                  <c:v>-3.9217986541138394E-2</c:v>
                </c:pt>
                <c:pt idx="109">
                  <c:v>2.1594527765468996E-2</c:v>
                </c:pt>
                <c:pt idx="110">
                  <c:v>6.6530869061418585E-3</c:v>
                </c:pt>
                <c:pt idx="111">
                  <c:v>-3.6115777599148302E-3</c:v>
                </c:pt>
                <c:pt idx="112">
                  <c:v>7.1518022997834052E-3</c:v>
                </c:pt>
                <c:pt idx="113">
                  <c:v>-2.2941859415702481E-2</c:v>
                </c:pt>
                <c:pt idx="114">
                  <c:v>1.3445324708817985E-2</c:v>
                </c:pt>
                <c:pt idx="115">
                  <c:v>-2.347667956930799E-2</c:v>
                </c:pt>
                <c:pt idx="116">
                  <c:v>-1.2207652043167094E-2</c:v>
                </c:pt>
                <c:pt idx="117">
                  <c:v>-4.7069899668805704E-4</c:v>
                </c:pt>
                <c:pt idx="118">
                  <c:v>-6.9138592239443852E-3</c:v>
                </c:pt>
                <c:pt idx="119">
                  <c:v>-1.5567661389828125E-2</c:v>
                </c:pt>
                <c:pt idx="120">
                  <c:v>6.9390671952556104E-3</c:v>
                </c:pt>
                <c:pt idx="121">
                  <c:v>-1.2837552006096153E-2</c:v>
                </c:pt>
                <c:pt idx="122">
                  <c:v>-1.7129874526522926E-2</c:v>
                </c:pt>
                <c:pt idx="123">
                  <c:v>-2.3995443399131844E-3</c:v>
                </c:pt>
                <c:pt idx="124">
                  <c:v>5.8291964683316877E-3</c:v>
                </c:pt>
                <c:pt idx="125">
                  <c:v>-4.2258611881909047E-3</c:v>
                </c:pt>
                <c:pt idx="126">
                  <c:v>1.8527445820568644E-2</c:v>
                </c:pt>
                <c:pt idx="127">
                  <c:v>1.1984699026018397E-2</c:v>
                </c:pt>
                <c:pt idx="128">
                  <c:v>6.2264139183225709E-3</c:v>
                </c:pt>
                <c:pt idx="129">
                  <c:v>-1.43724074564755E-3</c:v>
                </c:pt>
                <c:pt idx="130">
                  <c:v>-1.8080720267591666E-2</c:v>
                </c:pt>
                <c:pt idx="131">
                  <c:v>1.7655267552902032E-2</c:v>
                </c:pt>
                <c:pt idx="132">
                  <c:v>-1.9936866655179131E-4</c:v>
                </c:pt>
                <c:pt idx="133">
                  <c:v>5.0629646489994684E-3</c:v>
                </c:pt>
                <c:pt idx="134">
                  <c:v>1.5615852090441251E-2</c:v>
                </c:pt>
                <c:pt idx="135">
                  <c:v>2.635584614425035E-3</c:v>
                </c:pt>
                <c:pt idx="136">
                  <c:v>-4.8717366558301833E-3</c:v>
                </c:pt>
                <c:pt idx="137">
                  <c:v>-1.6660227875063605E-2</c:v>
                </c:pt>
                <c:pt idx="138">
                  <c:v>4.978355149112268E-3</c:v>
                </c:pt>
                <c:pt idx="139">
                  <c:v>-8.9512279479579959E-3</c:v>
                </c:pt>
                <c:pt idx="140">
                  <c:v>1.0614303769527211E-3</c:v>
                </c:pt>
                <c:pt idx="141">
                  <c:v>-1.9760100323233942E-3</c:v>
                </c:pt>
                <c:pt idx="142">
                  <c:v>2.1006335073130877E-2</c:v>
                </c:pt>
                <c:pt idx="143">
                  <c:v>-1.1595346553289865E-2</c:v>
                </c:pt>
                <c:pt idx="144">
                  <c:v>-5.0160190549668471E-3</c:v>
                </c:pt>
                <c:pt idx="145">
                  <c:v>-2.0924488608162761E-2</c:v>
                </c:pt>
                <c:pt idx="146">
                  <c:v>-2.3007584491469224E-2</c:v>
                </c:pt>
                <c:pt idx="147">
                  <c:v>3.9557013606170699E-3</c:v>
                </c:pt>
                <c:pt idx="148">
                  <c:v>2.6244886112491983E-3</c:v>
                </c:pt>
                <c:pt idx="149">
                  <c:v>-1.2636466934203838E-2</c:v>
                </c:pt>
                <c:pt idx="150">
                  <c:v>3.1020502917055381E-2</c:v>
                </c:pt>
                <c:pt idx="151">
                  <c:v>-4.4685679208766871E-3</c:v>
                </c:pt>
                <c:pt idx="152">
                  <c:v>9.7575767809665592E-3</c:v>
                </c:pt>
                <c:pt idx="153">
                  <c:v>-1.3248162889082593E-2</c:v>
                </c:pt>
                <c:pt idx="154">
                  <c:v>1.1110863594530507E-2</c:v>
                </c:pt>
                <c:pt idx="155">
                  <c:v>-1.6768477693489103E-2</c:v>
                </c:pt>
                <c:pt idx="156">
                  <c:v>3.4542670897161898E-2</c:v>
                </c:pt>
                <c:pt idx="157">
                  <c:v>-3.076155774031708E-2</c:v>
                </c:pt>
                <c:pt idx="158">
                  <c:v>0.10663413931756249</c:v>
                </c:pt>
                <c:pt idx="159">
                  <c:v>-6.8663768458483432E-3</c:v>
                </c:pt>
                <c:pt idx="160">
                  <c:v>-2.4873780847401328E-2</c:v>
                </c:pt>
                <c:pt idx="161">
                  <c:v>6.9216040750363916E-3</c:v>
                </c:pt>
                <c:pt idx="162">
                  <c:v>-2.9702714695032384E-3</c:v>
                </c:pt>
                <c:pt idx="163">
                  <c:v>1.7082293180639141E-3</c:v>
                </c:pt>
                <c:pt idx="164">
                  <c:v>1.236629102364617E-2</c:v>
                </c:pt>
                <c:pt idx="165">
                  <c:v>-1.1504067906813908E-2</c:v>
                </c:pt>
                <c:pt idx="166">
                  <c:v>1.2256326492132708E-2</c:v>
                </c:pt>
                <c:pt idx="167">
                  <c:v>4.0834095539130644E-3</c:v>
                </c:pt>
                <c:pt idx="168">
                  <c:v>-2.1362660511199394E-3</c:v>
                </c:pt>
                <c:pt idx="169">
                  <c:v>-1.0585254146857181E-2</c:v>
                </c:pt>
                <c:pt idx="170">
                  <c:v>-1.4714059122296952E-2</c:v>
                </c:pt>
                <c:pt idx="171">
                  <c:v>4.7412893057217076E-3</c:v>
                </c:pt>
                <c:pt idx="172">
                  <c:v>-1.3469662032188801E-2</c:v>
                </c:pt>
                <c:pt idx="173">
                  <c:v>-7.5889735599803387E-3</c:v>
                </c:pt>
                <c:pt idx="174">
                  <c:v>1.6664185543803889E-2</c:v>
                </c:pt>
                <c:pt idx="175">
                  <c:v>3.2244194105199853E-3</c:v>
                </c:pt>
                <c:pt idx="176">
                  <c:v>-9.1835037344178971E-4</c:v>
                </c:pt>
                <c:pt idx="177">
                  <c:v>7.5947258068351786E-3</c:v>
                </c:pt>
                <c:pt idx="178">
                  <c:v>-7.8867514237286329E-3</c:v>
                </c:pt>
                <c:pt idx="179">
                  <c:v>-2.5898476937475934E-2</c:v>
                </c:pt>
                <c:pt idx="180">
                  <c:v>6.0609540581468835E-3</c:v>
                </c:pt>
                <c:pt idx="181">
                  <c:v>1.0330840242714245E-2</c:v>
                </c:pt>
                <c:pt idx="182">
                  <c:v>2.4269889351441698E-2</c:v>
                </c:pt>
                <c:pt idx="183">
                  <c:v>-4.95468611144112E-3</c:v>
                </c:pt>
                <c:pt idx="184">
                  <c:v>1.9380643892143112E-2</c:v>
                </c:pt>
                <c:pt idx="185">
                  <c:v>2.3435404267411641E-2</c:v>
                </c:pt>
                <c:pt idx="186">
                  <c:v>-1.947642326631982E-2</c:v>
                </c:pt>
                <c:pt idx="187">
                  <c:v>-2.0961960295879933E-3</c:v>
                </c:pt>
                <c:pt idx="188">
                  <c:v>-6.9889876081141722E-3</c:v>
                </c:pt>
                <c:pt idx="189">
                  <c:v>2.7799824883326885E-2</c:v>
                </c:pt>
                <c:pt idx="190">
                  <c:v>-1.5244840121271253E-2</c:v>
                </c:pt>
                <c:pt idx="191">
                  <c:v>-1.1243244427632249E-3</c:v>
                </c:pt>
                <c:pt idx="192">
                  <c:v>-1.182937305205467E-2</c:v>
                </c:pt>
                <c:pt idx="193">
                  <c:v>1.1944630219737462E-2</c:v>
                </c:pt>
                <c:pt idx="194">
                  <c:v>-5.2451315491044426E-3</c:v>
                </c:pt>
                <c:pt idx="195">
                  <c:v>1.8939603841269914E-2</c:v>
                </c:pt>
                <c:pt idx="196">
                  <c:v>-4.8522210648211939E-3</c:v>
                </c:pt>
                <c:pt idx="197">
                  <c:v>3.115102780542145E-2</c:v>
                </c:pt>
                <c:pt idx="198">
                  <c:v>-6.0549615004381607E-3</c:v>
                </c:pt>
                <c:pt idx="199">
                  <c:v>3.5516745129853255E-2</c:v>
                </c:pt>
                <c:pt idx="200">
                  <c:v>3.7755162678436704E-3</c:v>
                </c:pt>
                <c:pt idx="201">
                  <c:v>2.2814937377502176E-3</c:v>
                </c:pt>
                <c:pt idx="202">
                  <c:v>1.9597175569661118E-3</c:v>
                </c:pt>
                <c:pt idx="203">
                  <c:v>2.4044392041961515E-2</c:v>
                </c:pt>
                <c:pt idx="204">
                  <c:v>-1.5052158549650585E-2</c:v>
                </c:pt>
                <c:pt idx="205">
                  <c:v>1.6822977546091522E-3</c:v>
                </c:pt>
                <c:pt idx="206">
                  <c:v>-2.5145384929334824E-3</c:v>
                </c:pt>
                <c:pt idx="207">
                  <c:v>-5.21319662431452E-3</c:v>
                </c:pt>
                <c:pt idx="208">
                  <c:v>1.4054045636235912E-4</c:v>
                </c:pt>
                <c:pt idx="209">
                  <c:v>-5.5130880476346178E-3</c:v>
                </c:pt>
                <c:pt idx="210">
                  <c:v>-2.3757294252478189E-2</c:v>
                </c:pt>
                <c:pt idx="211">
                  <c:v>5.0631479847638161E-3</c:v>
                </c:pt>
                <c:pt idx="212">
                  <c:v>2.562936509411351E-2</c:v>
                </c:pt>
                <c:pt idx="213">
                  <c:v>7.6243159281903061E-2</c:v>
                </c:pt>
                <c:pt idx="214">
                  <c:v>-9.273480989113736E-3</c:v>
                </c:pt>
                <c:pt idx="215">
                  <c:v>2.0086714374984993E-3</c:v>
                </c:pt>
                <c:pt idx="216">
                  <c:v>1.6046015324781671E-2</c:v>
                </c:pt>
                <c:pt idx="217">
                  <c:v>-2.0159458353147031E-2</c:v>
                </c:pt>
                <c:pt idx="218">
                  <c:v>3.7616341407247234E-3</c:v>
                </c:pt>
                <c:pt idx="219">
                  <c:v>4.2444556798832522E-2</c:v>
                </c:pt>
                <c:pt idx="220">
                  <c:v>4.1407615360619765E-2</c:v>
                </c:pt>
                <c:pt idx="221">
                  <c:v>-9.8601538356222207E-3</c:v>
                </c:pt>
                <c:pt idx="222">
                  <c:v>8.5131561621265561E-3</c:v>
                </c:pt>
                <c:pt idx="223">
                  <c:v>4.5031570796512099E-3</c:v>
                </c:pt>
                <c:pt idx="224">
                  <c:v>2.6139471639186063E-2</c:v>
                </c:pt>
                <c:pt idx="225">
                  <c:v>2.4454902873137563E-2</c:v>
                </c:pt>
                <c:pt idx="226">
                  <c:v>3.9179965910345338E-2</c:v>
                </c:pt>
                <c:pt idx="227">
                  <c:v>3.1720327508137913E-2</c:v>
                </c:pt>
                <c:pt idx="228">
                  <c:v>-3.4116112075256666E-2</c:v>
                </c:pt>
                <c:pt idx="229">
                  <c:v>-1.6537327312668992E-3</c:v>
                </c:pt>
                <c:pt idx="230">
                  <c:v>-3.7530165637192248E-2</c:v>
                </c:pt>
                <c:pt idx="231">
                  <c:v>-1.8917943106822932E-2</c:v>
                </c:pt>
                <c:pt idx="232">
                  <c:v>-2.2492925393018837E-2</c:v>
                </c:pt>
                <c:pt idx="233">
                  <c:v>-4.9914771573638106E-3</c:v>
                </c:pt>
                <c:pt idx="234">
                  <c:v>-6.9777250791010381E-2</c:v>
                </c:pt>
                <c:pt idx="235">
                  <c:v>0.13763453144947579</c:v>
                </c:pt>
                <c:pt idx="236">
                  <c:v>-1.1298454660218837E-2</c:v>
                </c:pt>
                <c:pt idx="237">
                  <c:v>2.2567511443358335E-2</c:v>
                </c:pt>
                <c:pt idx="238">
                  <c:v>-5.1905315571890931E-2</c:v>
                </c:pt>
                <c:pt idx="239">
                  <c:v>-9.3852164226607471E-2</c:v>
                </c:pt>
                <c:pt idx="240">
                  <c:v>-3.5386769466292378E-3</c:v>
                </c:pt>
                <c:pt idx="241">
                  <c:v>1.6587324112278701E-2</c:v>
                </c:pt>
                <c:pt idx="242">
                  <c:v>-6.59092903921632E-4</c:v>
                </c:pt>
                <c:pt idx="243">
                  <c:v>-4.3828878264647209E-2</c:v>
                </c:pt>
                <c:pt idx="244">
                  <c:v>-1.3843788778326704E-2</c:v>
                </c:pt>
                <c:pt idx="245">
                  <c:v>-2.478123078134864E-2</c:v>
                </c:pt>
                <c:pt idx="246">
                  <c:v>1.1982539206946363E-2</c:v>
                </c:pt>
                <c:pt idx="247">
                  <c:v>3.7202874783480055E-2</c:v>
                </c:pt>
                <c:pt idx="248">
                  <c:v>1.7340252625539065E-2</c:v>
                </c:pt>
                <c:pt idx="249">
                  <c:v>3.3160723001222081E-3</c:v>
                </c:pt>
                <c:pt idx="2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6-7A41-807F-1250B4901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62944"/>
        <c:axId val="79574592"/>
      </c:lineChart>
      <c:catAx>
        <c:axId val="7956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4592"/>
        <c:crosses val="autoZero"/>
        <c:auto val="1"/>
        <c:lblAlgn val="ctr"/>
        <c:lblOffset val="100"/>
        <c:noMultiLvlLbl val="0"/>
      </c:catAx>
      <c:valAx>
        <c:axId val="795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6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Closing</a:t>
            </a:r>
            <a:r>
              <a:rPr lang="en-GB" baseline="0"/>
              <a:t> </a:t>
            </a:r>
            <a:r>
              <a:rPr lang="en-GB"/>
              <a:t>Price</a:t>
            </a:r>
            <a:r>
              <a:rPr lang="en-GB" baseline="0"/>
              <a:t>/ Simulation Values Plot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Lisa!$C$1:$C$2</c:f>
              <c:strCache>
                <c:ptCount val="2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Lisa!$B$3:$B$254</c:f>
              <c:strCache>
                <c:ptCount val="252"/>
                <c:pt idx="0">
                  <c:v>Date</c:v>
                </c:pt>
                <c:pt idx="1">
                  <c:v>03/18/2026</c:v>
                </c:pt>
                <c:pt idx="2">
                  <c:v>03/17/2026</c:v>
                </c:pt>
                <c:pt idx="3">
                  <c:v>03/16/2026</c:v>
                </c:pt>
                <c:pt idx="4">
                  <c:v>03/13/2026</c:v>
                </c:pt>
                <c:pt idx="5">
                  <c:v>03/12/2026</c:v>
                </c:pt>
                <c:pt idx="6">
                  <c:v>03/11/2026</c:v>
                </c:pt>
                <c:pt idx="7">
                  <c:v>03/10/2026</c:v>
                </c:pt>
                <c:pt idx="8">
                  <c:v>03/09/2026</c:v>
                </c:pt>
                <c:pt idx="9">
                  <c:v>03/06/2026</c:v>
                </c:pt>
                <c:pt idx="10">
                  <c:v>03/05/2026</c:v>
                </c:pt>
                <c:pt idx="11">
                  <c:v>03/04/2026</c:v>
                </c:pt>
                <c:pt idx="12">
                  <c:v>03/03/2026</c:v>
                </c:pt>
                <c:pt idx="13">
                  <c:v>03/02/2026</c:v>
                </c:pt>
                <c:pt idx="14">
                  <c:v>02/27/2026</c:v>
                </c:pt>
                <c:pt idx="15">
                  <c:v>02/26/2026</c:v>
                </c:pt>
                <c:pt idx="16">
                  <c:v>02/25/2026</c:v>
                </c:pt>
                <c:pt idx="17">
                  <c:v>02/24/2026</c:v>
                </c:pt>
                <c:pt idx="18">
                  <c:v>02/23/2026</c:v>
                </c:pt>
                <c:pt idx="19">
                  <c:v>02/20/2026</c:v>
                </c:pt>
                <c:pt idx="20">
                  <c:v>02/19/2026</c:v>
                </c:pt>
                <c:pt idx="21">
                  <c:v>02/18/2026</c:v>
                </c:pt>
                <c:pt idx="22">
                  <c:v>02/17/2026</c:v>
                </c:pt>
                <c:pt idx="23">
                  <c:v>02/13/2026</c:v>
                </c:pt>
                <c:pt idx="24">
                  <c:v>02/12/2026</c:v>
                </c:pt>
                <c:pt idx="25">
                  <c:v>02/11/2026</c:v>
                </c:pt>
                <c:pt idx="26">
                  <c:v>02/10/2026</c:v>
                </c:pt>
                <c:pt idx="27">
                  <c:v>02/09/2026</c:v>
                </c:pt>
                <c:pt idx="28">
                  <c:v>02/06/2026</c:v>
                </c:pt>
                <c:pt idx="29">
                  <c:v>02/05/2026</c:v>
                </c:pt>
                <c:pt idx="30">
                  <c:v>02/04/2026</c:v>
                </c:pt>
                <c:pt idx="31">
                  <c:v>02/03/2026</c:v>
                </c:pt>
                <c:pt idx="32">
                  <c:v>02/02/2026</c:v>
                </c:pt>
                <c:pt idx="33">
                  <c:v>01/30/2026</c:v>
                </c:pt>
                <c:pt idx="34">
                  <c:v>01/29/2026</c:v>
                </c:pt>
                <c:pt idx="35">
                  <c:v>01/28/2026</c:v>
                </c:pt>
                <c:pt idx="36">
                  <c:v>01/27/2026</c:v>
                </c:pt>
                <c:pt idx="37">
                  <c:v>01/26/2026</c:v>
                </c:pt>
                <c:pt idx="38">
                  <c:v>01/23/2026</c:v>
                </c:pt>
                <c:pt idx="39">
                  <c:v>01/22/2026</c:v>
                </c:pt>
                <c:pt idx="40">
                  <c:v>01/21/2026</c:v>
                </c:pt>
                <c:pt idx="41">
                  <c:v>01/20/2026</c:v>
                </c:pt>
                <c:pt idx="42">
                  <c:v>01/16/2026</c:v>
                </c:pt>
                <c:pt idx="43">
                  <c:v>01/15/2026</c:v>
                </c:pt>
                <c:pt idx="44">
                  <c:v>01/14/2026</c:v>
                </c:pt>
                <c:pt idx="45">
                  <c:v>01/13/2026</c:v>
                </c:pt>
                <c:pt idx="46">
                  <c:v>01/12/2026</c:v>
                </c:pt>
                <c:pt idx="47">
                  <c:v>01/09/2026</c:v>
                </c:pt>
                <c:pt idx="48">
                  <c:v>01/08/2026</c:v>
                </c:pt>
                <c:pt idx="49">
                  <c:v>01/07/2026</c:v>
                </c:pt>
                <c:pt idx="50">
                  <c:v>01/06/2026</c:v>
                </c:pt>
                <c:pt idx="51">
                  <c:v>01/05/2026</c:v>
                </c:pt>
                <c:pt idx="52">
                  <c:v>01/02/2026</c:v>
                </c:pt>
                <c:pt idx="53">
                  <c:v>12/31/2025</c:v>
                </c:pt>
                <c:pt idx="54">
                  <c:v>12/30/2025</c:v>
                </c:pt>
                <c:pt idx="55">
                  <c:v>12/29/2025</c:v>
                </c:pt>
                <c:pt idx="56">
                  <c:v>12/26/2025</c:v>
                </c:pt>
                <c:pt idx="57">
                  <c:v>12/24/2025</c:v>
                </c:pt>
                <c:pt idx="58">
                  <c:v>12/23/2025</c:v>
                </c:pt>
                <c:pt idx="59">
                  <c:v>12/22/2025</c:v>
                </c:pt>
                <c:pt idx="60">
                  <c:v>12/19/2025</c:v>
                </c:pt>
                <c:pt idx="61">
                  <c:v>12/18/2025</c:v>
                </c:pt>
                <c:pt idx="62">
                  <c:v>12/17/2025</c:v>
                </c:pt>
                <c:pt idx="63">
                  <c:v>12/16/2025</c:v>
                </c:pt>
                <c:pt idx="64">
                  <c:v>12/15/2025</c:v>
                </c:pt>
                <c:pt idx="65">
                  <c:v>12/12/2025</c:v>
                </c:pt>
                <c:pt idx="66">
                  <c:v>12/11/2025</c:v>
                </c:pt>
                <c:pt idx="67">
                  <c:v>12/10/2025</c:v>
                </c:pt>
                <c:pt idx="68">
                  <c:v>12/09/2025</c:v>
                </c:pt>
                <c:pt idx="69">
                  <c:v>12/08/2025</c:v>
                </c:pt>
                <c:pt idx="70">
                  <c:v>12/05/2025</c:v>
                </c:pt>
                <c:pt idx="71">
                  <c:v>12/04/2025</c:v>
                </c:pt>
                <c:pt idx="72">
                  <c:v>12/03/2025</c:v>
                </c:pt>
                <c:pt idx="73">
                  <c:v>12/02/2025</c:v>
                </c:pt>
                <c:pt idx="74">
                  <c:v>12/01/2025</c:v>
                </c:pt>
                <c:pt idx="75">
                  <c:v>11/28/2025</c:v>
                </c:pt>
                <c:pt idx="76">
                  <c:v>11/26/2025</c:v>
                </c:pt>
                <c:pt idx="77">
                  <c:v>11/25/2025</c:v>
                </c:pt>
                <c:pt idx="78">
                  <c:v>11/24/2025</c:v>
                </c:pt>
                <c:pt idx="79">
                  <c:v>11/21/2025</c:v>
                </c:pt>
                <c:pt idx="80">
                  <c:v>11/20/2025</c:v>
                </c:pt>
                <c:pt idx="81">
                  <c:v>11/19/2025</c:v>
                </c:pt>
                <c:pt idx="82">
                  <c:v>11/18/2025</c:v>
                </c:pt>
                <c:pt idx="83">
                  <c:v>11/17/2025</c:v>
                </c:pt>
                <c:pt idx="84">
                  <c:v>11/14/2025</c:v>
                </c:pt>
                <c:pt idx="85">
                  <c:v>11/13/2025</c:v>
                </c:pt>
                <c:pt idx="86">
                  <c:v>11/12/2025</c:v>
                </c:pt>
                <c:pt idx="87">
                  <c:v>11/11/2025</c:v>
                </c:pt>
                <c:pt idx="88">
                  <c:v>11/10/2025</c:v>
                </c:pt>
                <c:pt idx="89">
                  <c:v>11/07/2025</c:v>
                </c:pt>
                <c:pt idx="90">
                  <c:v>11/06/2025</c:v>
                </c:pt>
                <c:pt idx="91">
                  <c:v>11/05/2025</c:v>
                </c:pt>
                <c:pt idx="92">
                  <c:v>11/04/2025</c:v>
                </c:pt>
                <c:pt idx="93">
                  <c:v>11/03/2025</c:v>
                </c:pt>
                <c:pt idx="94">
                  <c:v>10/31/2025</c:v>
                </c:pt>
                <c:pt idx="95">
                  <c:v>10/30/2025</c:v>
                </c:pt>
                <c:pt idx="96">
                  <c:v>10/29/2025</c:v>
                </c:pt>
                <c:pt idx="97">
                  <c:v>10/28/2025</c:v>
                </c:pt>
                <c:pt idx="98">
                  <c:v>10/27/2025</c:v>
                </c:pt>
                <c:pt idx="99">
                  <c:v>10/24/2025</c:v>
                </c:pt>
                <c:pt idx="100">
                  <c:v>10/23/2025</c:v>
                </c:pt>
                <c:pt idx="101">
                  <c:v>10/22/2025</c:v>
                </c:pt>
                <c:pt idx="102">
                  <c:v>10/21/2025</c:v>
                </c:pt>
                <c:pt idx="103">
                  <c:v>10/20/2025</c:v>
                </c:pt>
                <c:pt idx="104">
                  <c:v>10/17/2025</c:v>
                </c:pt>
                <c:pt idx="105">
                  <c:v>10/16/2025</c:v>
                </c:pt>
                <c:pt idx="106">
                  <c:v>10/15/2025</c:v>
                </c:pt>
                <c:pt idx="107">
                  <c:v>10/14/2025</c:v>
                </c:pt>
                <c:pt idx="108">
                  <c:v>10/13/2025</c:v>
                </c:pt>
                <c:pt idx="109">
                  <c:v>10/10/2025</c:v>
                </c:pt>
                <c:pt idx="110">
                  <c:v>10/09/2025</c:v>
                </c:pt>
                <c:pt idx="111">
                  <c:v>10/08/2025</c:v>
                </c:pt>
                <c:pt idx="112">
                  <c:v>10/07/2025</c:v>
                </c:pt>
                <c:pt idx="113">
                  <c:v>10/06/2025</c:v>
                </c:pt>
                <c:pt idx="114">
                  <c:v>10/03/2025</c:v>
                </c:pt>
                <c:pt idx="115">
                  <c:v>10/02/2025</c:v>
                </c:pt>
                <c:pt idx="116">
                  <c:v>10/01/2025</c:v>
                </c:pt>
                <c:pt idx="117">
                  <c:v>09/30/2025</c:v>
                </c:pt>
                <c:pt idx="118">
                  <c:v>09/29/2025</c:v>
                </c:pt>
                <c:pt idx="119">
                  <c:v>09/26/2025</c:v>
                </c:pt>
                <c:pt idx="120">
                  <c:v>09/25/2025</c:v>
                </c:pt>
                <c:pt idx="121">
                  <c:v>09/24/2025</c:v>
                </c:pt>
                <c:pt idx="122">
                  <c:v>09/23/2025</c:v>
                </c:pt>
                <c:pt idx="123">
                  <c:v>09/22/2025</c:v>
                </c:pt>
                <c:pt idx="124">
                  <c:v>09/19/2025</c:v>
                </c:pt>
                <c:pt idx="125">
                  <c:v>09/18/2025</c:v>
                </c:pt>
                <c:pt idx="126">
                  <c:v>09/17/2025</c:v>
                </c:pt>
                <c:pt idx="127">
                  <c:v>09/16/2025</c:v>
                </c:pt>
                <c:pt idx="128">
                  <c:v>09/15/2025</c:v>
                </c:pt>
                <c:pt idx="129">
                  <c:v>09/12/2025</c:v>
                </c:pt>
                <c:pt idx="130">
                  <c:v>09/11/2025</c:v>
                </c:pt>
                <c:pt idx="131">
                  <c:v>09/10/2025</c:v>
                </c:pt>
                <c:pt idx="132">
                  <c:v>09/09/2025</c:v>
                </c:pt>
                <c:pt idx="133">
                  <c:v>09/08/2025</c:v>
                </c:pt>
                <c:pt idx="134">
                  <c:v>09/05/2025</c:v>
                </c:pt>
                <c:pt idx="135">
                  <c:v>09/04/2025</c:v>
                </c:pt>
                <c:pt idx="136">
                  <c:v>09/03/2025</c:v>
                </c:pt>
                <c:pt idx="137">
                  <c:v>09/02/2025</c:v>
                </c:pt>
                <c:pt idx="138">
                  <c:v>08/29/2025</c:v>
                </c:pt>
                <c:pt idx="139">
                  <c:v>08/28/2025</c:v>
                </c:pt>
                <c:pt idx="140">
                  <c:v>08/27/2025</c:v>
                </c:pt>
                <c:pt idx="141">
                  <c:v>08/26/2025</c:v>
                </c:pt>
                <c:pt idx="142">
                  <c:v>08/25/2025</c:v>
                </c:pt>
                <c:pt idx="143">
                  <c:v>08/22/2025</c:v>
                </c:pt>
                <c:pt idx="144">
                  <c:v>08/21/2025</c:v>
                </c:pt>
                <c:pt idx="145">
                  <c:v>08/20/2025</c:v>
                </c:pt>
                <c:pt idx="146">
                  <c:v>08/19/2025</c:v>
                </c:pt>
                <c:pt idx="147">
                  <c:v>08/18/2025</c:v>
                </c:pt>
                <c:pt idx="148">
                  <c:v>08/15/2025</c:v>
                </c:pt>
                <c:pt idx="149">
                  <c:v>08/14/2025</c:v>
                </c:pt>
                <c:pt idx="150">
                  <c:v>08/13/2025</c:v>
                </c:pt>
                <c:pt idx="151">
                  <c:v>08/12/2025</c:v>
                </c:pt>
                <c:pt idx="152">
                  <c:v>08/11/2025</c:v>
                </c:pt>
                <c:pt idx="153">
                  <c:v>08/08/2025</c:v>
                </c:pt>
                <c:pt idx="154">
                  <c:v>08/07/2025</c:v>
                </c:pt>
                <c:pt idx="155">
                  <c:v>08/06/2025</c:v>
                </c:pt>
                <c:pt idx="156">
                  <c:v>08/05/2025</c:v>
                </c:pt>
                <c:pt idx="157">
                  <c:v>08/04/2025</c:v>
                </c:pt>
                <c:pt idx="158">
                  <c:v>08/01/2025</c:v>
                </c:pt>
                <c:pt idx="159">
                  <c:v>07/31/2025</c:v>
                </c:pt>
                <c:pt idx="160">
                  <c:v>07/30/2025</c:v>
                </c:pt>
                <c:pt idx="161">
                  <c:v>07/29/2025</c:v>
                </c:pt>
                <c:pt idx="162">
                  <c:v>07/28/2025</c:v>
                </c:pt>
                <c:pt idx="163">
                  <c:v>07/25/2025</c:v>
                </c:pt>
                <c:pt idx="164">
                  <c:v>07/24/2025</c:v>
                </c:pt>
                <c:pt idx="165">
                  <c:v>07/23/2025</c:v>
                </c:pt>
                <c:pt idx="166">
                  <c:v>07/22/2025</c:v>
                </c:pt>
                <c:pt idx="167">
                  <c:v>07/21/2025</c:v>
                </c:pt>
                <c:pt idx="168">
                  <c:v>07/18/2025</c:v>
                </c:pt>
                <c:pt idx="169">
                  <c:v>07/17/2025</c:v>
                </c:pt>
                <c:pt idx="170">
                  <c:v>07/16/2025</c:v>
                </c:pt>
                <c:pt idx="171">
                  <c:v>07/15/2025</c:v>
                </c:pt>
                <c:pt idx="172">
                  <c:v>07/14/2025</c:v>
                </c:pt>
                <c:pt idx="173">
                  <c:v>07/11/2025</c:v>
                </c:pt>
                <c:pt idx="174">
                  <c:v>07/10/2025</c:v>
                </c:pt>
                <c:pt idx="175">
                  <c:v>07/09/2025</c:v>
                </c:pt>
                <c:pt idx="176">
                  <c:v>07/08/2025</c:v>
                </c:pt>
                <c:pt idx="177">
                  <c:v>07/07/2025</c:v>
                </c:pt>
                <c:pt idx="178">
                  <c:v>07/03/2025</c:v>
                </c:pt>
                <c:pt idx="179">
                  <c:v>07/02/2025</c:v>
                </c:pt>
                <c:pt idx="180">
                  <c:v>07/01/2025</c:v>
                </c:pt>
                <c:pt idx="181">
                  <c:v>06/30/2025</c:v>
                </c:pt>
                <c:pt idx="182">
                  <c:v>06/27/2025</c:v>
                </c:pt>
                <c:pt idx="183">
                  <c:v>06/26/2025</c:v>
                </c:pt>
                <c:pt idx="184">
                  <c:v>06/25/2025</c:v>
                </c:pt>
                <c:pt idx="185">
                  <c:v>06/24/2025</c:v>
                </c:pt>
                <c:pt idx="186">
                  <c:v>06/23/2025</c:v>
                </c:pt>
                <c:pt idx="187">
                  <c:v>06/20/2025</c:v>
                </c:pt>
                <c:pt idx="188">
                  <c:v>06/18/2025</c:v>
                </c:pt>
                <c:pt idx="189">
                  <c:v>06/17/2025</c:v>
                </c:pt>
                <c:pt idx="190">
                  <c:v>06/16/2025</c:v>
                </c:pt>
                <c:pt idx="191">
                  <c:v>06/13/2025</c:v>
                </c:pt>
                <c:pt idx="192">
                  <c:v>06/12/2025</c:v>
                </c:pt>
                <c:pt idx="193">
                  <c:v>06/11/2025</c:v>
                </c:pt>
                <c:pt idx="194">
                  <c:v>06/10/2025</c:v>
                </c:pt>
                <c:pt idx="195">
                  <c:v>06/09/2025</c:v>
                </c:pt>
                <c:pt idx="196">
                  <c:v>06/06/2025</c:v>
                </c:pt>
                <c:pt idx="197">
                  <c:v>06/05/2025</c:v>
                </c:pt>
                <c:pt idx="198">
                  <c:v>06/04/2025</c:v>
                </c:pt>
                <c:pt idx="199">
                  <c:v>06/03/2025</c:v>
                </c:pt>
                <c:pt idx="200">
                  <c:v>06/02/2025</c:v>
                </c:pt>
                <c:pt idx="201">
                  <c:v>05/30/2025</c:v>
                </c:pt>
                <c:pt idx="202">
                  <c:v>05/29/2025</c:v>
                </c:pt>
                <c:pt idx="203">
                  <c:v>05/28/2025</c:v>
                </c:pt>
                <c:pt idx="204">
                  <c:v>05/27/2025</c:v>
                </c:pt>
                <c:pt idx="205">
                  <c:v>05/23/2025</c:v>
                </c:pt>
                <c:pt idx="206">
                  <c:v>05/22/2025</c:v>
                </c:pt>
                <c:pt idx="207">
                  <c:v>05/21/2025</c:v>
                </c:pt>
                <c:pt idx="208">
                  <c:v>05/20/2025</c:v>
                </c:pt>
                <c:pt idx="209">
                  <c:v>05/19/2025</c:v>
                </c:pt>
                <c:pt idx="210">
                  <c:v>05/16/2025</c:v>
                </c:pt>
                <c:pt idx="211">
                  <c:v>05/15/2025</c:v>
                </c:pt>
                <c:pt idx="212">
                  <c:v>05/14/2025</c:v>
                </c:pt>
                <c:pt idx="213">
                  <c:v>05/13/2025</c:v>
                </c:pt>
                <c:pt idx="214">
                  <c:v>05/12/2025</c:v>
                </c:pt>
                <c:pt idx="215">
                  <c:v>05/09/2025</c:v>
                </c:pt>
                <c:pt idx="216">
                  <c:v>05/08/2025</c:v>
                </c:pt>
                <c:pt idx="217">
                  <c:v>05/07/2025</c:v>
                </c:pt>
                <c:pt idx="218">
                  <c:v>05/06/2025</c:v>
                </c:pt>
                <c:pt idx="219">
                  <c:v>05/05/2025</c:v>
                </c:pt>
                <c:pt idx="220">
                  <c:v>05/02/2025</c:v>
                </c:pt>
                <c:pt idx="221">
                  <c:v>05/01/2025</c:v>
                </c:pt>
                <c:pt idx="222">
                  <c:v>04/30/2025</c:v>
                </c:pt>
                <c:pt idx="223">
                  <c:v>04/29/2025</c:v>
                </c:pt>
                <c:pt idx="224">
                  <c:v>04/28/2025</c:v>
                </c:pt>
                <c:pt idx="225">
                  <c:v>04/25/2025</c:v>
                </c:pt>
                <c:pt idx="226">
                  <c:v>04/24/2025</c:v>
                </c:pt>
                <c:pt idx="227">
                  <c:v>04/23/2025</c:v>
                </c:pt>
                <c:pt idx="228">
                  <c:v>04/22/2025</c:v>
                </c:pt>
                <c:pt idx="229">
                  <c:v>04/21/2025</c:v>
                </c:pt>
                <c:pt idx="230">
                  <c:v>04/17/2025</c:v>
                </c:pt>
                <c:pt idx="231">
                  <c:v>04/16/2025</c:v>
                </c:pt>
                <c:pt idx="232">
                  <c:v>04/15/2025</c:v>
                </c:pt>
                <c:pt idx="233">
                  <c:v>04/14/2025</c:v>
                </c:pt>
                <c:pt idx="234">
                  <c:v>04/11/2025</c:v>
                </c:pt>
                <c:pt idx="235">
                  <c:v>04/10/2025</c:v>
                </c:pt>
                <c:pt idx="236">
                  <c:v>04/09/2025</c:v>
                </c:pt>
                <c:pt idx="237">
                  <c:v>04/08/2025</c:v>
                </c:pt>
                <c:pt idx="238">
                  <c:v>04/07/2025</c:v>
                </c:pt>
                <c:pt idx="239">
                  <c:v>04/04/2025</c:v>
                </c:pt>
                <c:pt idx="240">
                  <c:v>04/03/2025</c:v>
                </c:pt>
                <c:pt idx="241">
                  <c:v>04/02/2025</c:v>
                </c:pt>
                <c:pt idx="242">
                  <c:v>04/01/2025</c:v>
                </c:pt>
                <c:pt idx="243">
                  <c:v>03/31/2025</c:v>
                </c:pt>
                <c:pt idx="244">
                  <c:v>03/28/2025</c:v>
                </c:pt>
                <c:pt idx="245">
                  <c:v>03/27/2025</c:v>
                </c:pt>
                <c:pt idx="246">
                  <c:v>03/26/2025</c:v>
                </c:pt>
                <c:pt idx="247">
                  <c:v>03/25/2025</c:v>
                </c:pt>
                <c:pt idx="248">
                  <c:v>03/24/2025</c:v>
                </c:pt>
                <c:pt idx="249">
                  <c:v>03/21/2025</c:v>
                </c:pt>
                <c:pt idx="250">
                  <c:v>03/20/2025</c:v>
                </c:pt>
                <c:pt idx="251">
                  <c:v>03/19/2025</c:v>
                </c:pt>
              </c:strCache>
            </c:strRef>
          </c:cat>
          <c:val>
            <c:numRef>
              <c:f>Lisa!$C$3:$C$254</c:f>
              <c:numCache>
                <c:formatCode>General</c:formatCode>
                <c:ptCount val="252"/>
                <c:pt idx="0">
                  <c:v>0</c:v>
                </c:pt>
                <c:pt idx="1">
                  <c:v>393.8</c:v>
                </c:pt>
                <c:pt idx="2">
                  <c:v>404.17</c:v>
                </c:pt>
                <c:pt idx="3">
                  <c:v>410</c:v>
                </c:pt>
                <c:pt idx="4">
                  <c:v>402.06599999999997</c:v>
                </c:pt>
                <c:pt idx="5">
                  <c:v>429.64</c:v>
                </c:pt>
                <c:pt idx="6">
                  <c:v>412.01</c:v>
                </c:pt>
                <c:pt idx="7">
                  <c:v>418.5</c:v>
                </c:pt>
                <c:pt idx="8">
                  <c:v>427.05</c:v>
                </c:pt>
                <c:pt idx="9">
                  <c:v>425.94799999999998</c:v>
                </c:pt>
                <c:pt idx="10">
                  <c:v>445.84</c:v>
                </c:pt>
                <c:pt idx="11">
                  <c:v>423.85</c:v>
                </c:pt>
                <c:pt idx="12">
                  <c:v>442.87200000000001</c:v>
                </c:pt>
                <c:pt idx="13">
                  <c:v>447</c:v>
                </c:pt>
                <c:pt idx="14">
                  <c:v>475.6</c:v>
                </c:pt>
                <c:pt idx="15">
                  <c:v>473.2</c:v>
                </c:pt>
                <c:pt idx="16">
                  <c:v>461.4</c:v>
                </c:pt>
                <c:pt idx="17">
                  <c:v>466.92</c:v>
                </c:pt>
                <c:pt idx="18">
                  <c:v>470.92</c:v>
                </c:pt>
                <c:pt idx="19">
                  <c:v>474.75</c:v>
                </c:pt>
                <c:pt idx="20">
                  <c:v>466.12</c:v>
                </c:pt>
                <c:pt idx="21">
                  <c:v>466.45</c:v>
                </c:pt>
                <c:pt idx="22">
                  <c:v>457.88</c:v>
                </c:pt>
                <c:pt idx="23">
                  <c:v>447.6</c:v>
                </c:pt>
                <c:pt idx="24">
                  <c:v>420</c:v>
                </c:pt>
                <c:pt idx="25">
                  <c:v>475.21</c:v>
                </c:pt>
                <c:pt idx="26">
                  <c:v>475.03</c:v>
                </c:pt>
                <c:pt idx="27">
                  <c:v>463.39789999999999</c:v>
                </c:pt>
                <c:pt idx="28">
                  <c:v>474</c:v>
                </c:pt>
                <c:pt idx="29">
                  <c:v>474</c:v>
                </c:pt>
                <c:pt idx="30">
                  <c:v>468.2</c:v>
                </c:pt>
                <c:pt idx="31">
                  <c:v>447.6</c:v>
                </c:pt>
                <c:pt idx="32">
                  <c:v>465.19</c:v>
                </c:pt>
                <c:pt idx="33">
                  <c:v>465.36</c:v>
                </c:pt>
                <c:pt idx="34">
                  <c:v>467.51389999999998</c:v>
                </c:pt>
                <c:pt idx="35">
                  <c:v>448</c:v>
                </c:pt>
                <c:pt idx="36">
                  <c:v>447.24</c:v>
                </c:pt>
                <c:pt idx="37">
                  <c:v>465.8</c:v>
                </c:pt>
                <c:pt idx="38">
                  <c:v>465.32</c:v>
                </c:pt>
                <c:pt idx="39">
                  <c:v>466.6</c:v>
                </c:pt>
                <c:pt idx="40">
                  <c:v>463.13400000000001</c:v>
                </c:pt>
                <c:pt idx="41">
                  <c:v>461.62</c:v>
                </c:pt>
                <c:pt idx="42">
                  <c:v>444.59800000000001</c:v>
                </c:pt>
                <c:pt idx="43">
                  <c:v>447.66</c:v>
                </c:pt>
                <c:pt idx="44">
                  <c:v>454.48</c:v>
                </c:pt>
                <c:pt idx="45">
                  <c:v>448.04</c:v>
                </c:pt>
                <c:pt idx="46">
                  <c:v>451.96</c:v>
                </c:pt>
                <c:pt idx="47">
                  <c:v>449.7</c:v>
                </c:pt>
                <c:pt idx="48">
                  <c:v>430.8</c:v>
                </c:pt>
                <c:pt idx="49">
                  <c:v>429.63200000000001</c:v>
                </c:pt>
                <c:pt idx="50">
                  <c:v>432.8</c:v>
                </c:pt>
                <c:pt idx="51">
                  <c:v>413.68</c:v>
                </c:pt>
                <c:pt idx="52">
                  <c:v>427.76400000000001</c:v>
                </c:pt>
                <c:pt idx="53">
                  <c:v>443.69600000000003</c:v>
                </c:pt>
                <c:pt idx="54">
                  <c:v>435.625</c:v>
                </c:pt>
                <c:pt idx="55">
                  <c:v>429.096</c:v>
                </c:pt>
                <c:pt idx="56">
                  <c:v>427.38799999999998</c:v>
                </c:pt>
                <c:pt idx="57">
                  <c:v>441.4</c:v>
                </c:pt>
                <c:pt idx="58">
                  <c:v>425</c:v>
                </c:pt>
                <c:pt idx="59">
                  <c:v>427.3</c:v>
                </c:pt>
                <c:pt idx="60">
                  <c:v>434.43549999999999</c:v>
                </c:pt>
                <c:pt idx="61">
                  <c:v>438.8</c:v>
                </c:pt>
                <c:pt idx="62">
                  <c:v>440.98110000000003</c:v>
                </c:pt>
                <c:pt idx="63">
                  <c:v>433.7</c:v>
                </c:pt>
                <c:pt idx="64">
                  <c:v>445.41</c:v>
                </c:pt>
                <c:pt idx="65">
                  <c:v>425.9</c:v>
                </c:pt>
                <c:pt idx="66">
                  <c:v>429.59199999999998</c:v>
                </c:pt>
                <c:pt idx="67">
                  <c:v>435.8</c:v>
                </c:pt>
                <c:pt idx="68">
                  <c:v>422.166</c:v>
                </c:pt>
                <c:pt idx="69">
                  <c:v>425.8811</c:v>
                </c:pt>
                <c:pt idx="70">
                  <c:v>430.798</c:v>
                </c:pt>
                <c:pt idx="71">
                  <c:v>444.22</c:v>
                </c:pt>
                <c:pt idx="72">
                  <c:v>439.92</c:v>
                </c:pt>
                <c:pt idx="73">
                  <c:v>451.94</c:v>
                </c:pt>
                <c:pt idx="74">
                  <c:v>452.34</c:v>
                </c:pt>
                <c:pt idx="75">
                  <c:v>447.02</c:v>
                </c:pt>
                <c:pt idx="76">
                  <c:v>427.49799999999999</c:v>
                </c:pt>
                <c:pt idx="77">
                  <c:v>419.46</c:v>
                </c:pt>
                <c:pt idx="78">
                  <c:v>418.62799999999999</c:v>
                </c:pt>
                <c:pt idx="79">
                  <c:v>412.53</c:v>
                </c:pt>
                <c:pt idx="80">
                  <c:v>416.6</c:v>
                </c:pt>
                <c:pt idx="81">
                  <c:v>404.39249999999998</c:v>
                </c:pt>
                <c:pt idx="82">
                  <c:v>406.74</c:v>
                </c:pt>
                <c:pt idx="83">
                  <c:v>408.16</c:v>
                </c:pt>
                <c:pt idx="84">
                  <c:v>410.8</c:v>
                </c:pt>
                <c:pt idx="85">
                  <c:v>423.8</c:v>
                </c:pt>
                <c:pt idx="86">
                  <c:v>413.47750000000002</c:v>
                </c:pt>
                <c:pt idx="87">
                  <c:v>413.04</c:v>
                </c:pt>
                <c:pt idx="88">
                  <c:v>416.12</c:v>
                </c:pt>
                <c:pt idx="89">
                  <c:v>408</c:v>
                </c:pt>
                <c:pt idx="90">
                  <c:v>410.30599999999998</c:v>
                </c:pt>
                <c:pt idx="91">
                  <c:v>426.72</c:v>
                </c:pt>
                <c:pt idx="92">
                  <c:v>424.38799999999998</c:v>
                </c:pt>
                <c:pt idx="93">
                  <c:v>416.65719999999999</c:v>
                </c:pt>
                <c:pt idx="94">
                  <c:v>431.38</c:v>
                </c:pt>
                <c:pt idx="95">
                  <c:v>439.89600000000002</c:v>
                </c:pt>
                <c:pt idx="96">
                  <c:v>440.26249999999999</c:v>
                </c:pt>
                <c:pt idx="97">
                  <c:v>431.12650000000002</c:v>
                </c:pt>
                <c:pt idx="98">
                  <c:v>435.608</c:v>
                </c:pt>
                <c:pt idx="99">
                  <c:v>435.178</c:v>
                </c:pt>
                <c:pt idx="100">
                  <c:v>451.4</c:v>
                </c:pt>
                <c:pt idx="101">
                  <c:v>430.35090000000002</c:v>
                </c:pt>
                <c:pt idx="102">
                  <c:v>461.2</c:v>
                </c:pt>
                <c:pt idx="103">
                  <c:v>450.56</c:v>
                </c:pt>
                <c:pt idx="104">
                  <c:v>444.6</c:v>
                </c:pt>
                <c:pt idx="105">
                  <c:v>451.53519999999997</c:v>
                </c:pt>
                <c:pt idx="106">
                  <c:v>439.5</c:v>
                </c:pt>
                <c:pt idx="107">
                  <c:v>435.99</c:v>
                </c:pt>
                <c:pt idx="108">
                  <c:v>426.5</c:v>
                </c:pt>
                <c:pt idx="109">
                  <c:v>436.9</c:v>
                </c:pt>
                <c:pt idx="110">
                  <c:v>434.0317</c:v>
                </c:pt>
                <c:pt idx="111">
                  <c:v>452.1</c:v>
                </c:pt>
                <c:pt idx="112">
                  <c:v>435.04</c:v>
                </c:pt>
                <c:pt idx="113">
                  <c:v>440.5625</c:v>
                </c:pt>
                <c:pt idx="114">
                  <c:v>435.8</c:v>
                </c:pt>
                <c:pt idx="115">
                  <c:v>451.18599999999998</c:v>
                </c:pt>
                <c:pt idx="116">
                  <c:v>437.94</c:v>
                </c:pt>
                <c:pt idx="117">
                  <c:v>432</c:v>
                </c:pt>
                <c:pt idx="118">
                  <c:v>426.012</c:v>
                </c:pt>
                <c:pt idx="119">
                  <c:v>433.3</c:v>
                </c:pt>
                <c:pt idx="120">
                  <c:v>420.97</c:v>
                </c:pt>
                <c:pt idx="121">
                  <c:v>427.18</c:v>
                </c:pt>
                <c:pt idx="122">
                  <c:v>440.49</c:v>
                </c:pt>
                <c:pt idx="123">
                  <c:v>427.93020000000001</c:v>
                </c:pt>
                <c:pt idx="124">
                  <c:v>448.87400000000002</c:v>
                </c:pt>
                <c:pt idx="125">
                  <c:v>440.25</c:v>
                </c:pt>
                <c:pt idx="126">
                  <c:v>439.6</c:v>
                </c:pt>
                <c:pt idx="127">
                  <c:v>455.64</c:v>
                </c:pt>
                <c:pt idx="128">
                  <c:v>468.76400000000001</c:v>
                </c:pt>
                <c:pt idx="129">
                  <c:v>444.15600000000001</c:v>
                </c:pt>
                <c:pt idx="130">
                  <c:v>450.45400000000001</c:v>
                </c:pt>
                <c:pt idx="131">
                  <c:v>452.19</c:v>
                </c:pt>
                <c:pt idx="132">
                  <c:v>462.17599999999999</c:v>
                </c:pt>
                <c:pt idx="133">
                  <c:v>466.875</c:v>
                </c:pt>
                <c:pt idx="134">
                  <c:v>476.2</c:v>
                </c:pt>
                <c:pt idx="135">
                  <c:v>470.5</c:v>
                </c:pt>
                <c:pt idx="136">
                  <c:v>475</c:v>
                </c:pt>
                <c:pt idx="137">
                  <c:v>468.8</c:v>
                </c:pt>
                <c:pt idx="138">
                  <c:v>473.38</c:v>
                </c:pt>
                <c:pt idx="139">
                  <c:v>476.1</c:v>
                </c:pt>
                <c:pt idx="140">
                  <c:v>474.83</c:v>
                </c:pt>
                <c:pt idx="141">
                  <c:v>470.17599999999999</c:v>
                </c:pt>
                <c:pt idx="142">
                  <c:v>473.58</c:v>
                </c:pt>
                <c:pt idx="143">
                  <c:v>473.5</c:v>
                </c:pt>
                <c:pt idx="144">
                  <c:v>475.28</c:v>
                </c:pt>
                <c:pt idx="145">
                  <c:v>467.2</c:v>
                </c:pt>
                <c:pt idx="146">
                  <c:v>459.78</c:v>
                </c:pt>
                <c:pt idx="147">
                  <c:v>460.31659999999999</c:v>
                </c:pt>
                <c:pt idx="148">
                  <c:v>455.92500000000001</c:v>
                </c:pt>
                <c:pt idx="149">
                  <c:v>447.64</c:v>
                </c:pt>
                <c:pt idx="150">
                  <c:v>456.6</c:v>
                </c:pt>
                <c:pt idx="151">
                  <c:v>448.6</c:v>
                </c:pt>
                <c:pt idx="152">
                  <c:v>436.56</c:v>
                </c:pt>
                <c:pt idx="153">
                  <c:v>437.1</c:v>
                </c:pt>
                <c:pt idx="154">
                  <c:v>435.57799999999997</c:v>
                </c:pt>
                <c:pt idx="155">
                  <c:v>426.05799999999999</c:v>
                </c:pt>
                <c:pt idx="156">
                  <c:v>441.36200000000002</c:v>
                </c:pt>
                <c:pt idx="157">
                  <c:v>433.75</c:v>
                </c:pt>
                <c:pt idx="158">
                  <c:v>444.23</c:v>
                </c:pt>
                <c:pt idx="159">
                  <c:v>439.24</c:v>
                </c:pt>
                <c:pt idx="160">
                  <c:v>446.84</c:v>
                </c:pt>
                <c:pt idx="161">
                  <c:v>441.19799999999998</c:v>
                </c:pt>
                <c:pt idx="162">
                  <c:v>434</c:v>
                </c:pt>
                <c:pt idx="163">
                  <c:v>431.92</c:v>
                </c:pt>
                <c:pt idx="164">
                  <c:v>433.4</c:v>
                </c:pt>
                <c:pt idx="165">
                  <c:v>433.84</c:v>
                </c:pt>
                <c:pt idx="166">
                  <c:v>420.96</c:v>
                </c:pt>
                <c:pt idx="167">
                  <c:v>421.4</c:v>
                </c:pt>
                <c:pt idx="168">
                  <c:v>430.81</c:v>
                </c:pt>
                <c:pt idx="169">
                  <c:v>426.8</c:v>
                </c:pt>
                <c:pt idx="170">
                  <c:v>418.6</c:v>
                </c:pt>
                <c:pt idx="171">
                  <c:v>423.82799999999997</c:v>
                </c:pt>
                <c:pt idx="172">
                  <c:v>428.4</c:v>
                </c:pt>
                <c:pt idx="173">
                  <c:v>436.4</c:v>
                </c:pt>
                <c:pt idx="174">
                  <c:v>438.2</c:v>
                </c:pt>
                <c:pt idx="175">
                  <c:v>435.78399999999999</c:v>
                </c:pt>
                <c:pt idx="176">
                  <c:v>439.1</c:v>
                </c:pt>
                <c:pt idx="177">
                  <c:v>438.2</c:v>
                </c:pt>
                <c:pt idx="178">
                  <c:v>430.24</c:v>
                </c:pt>
                <c:pt idx="179">
                  <c:v>435.4</c:v>
                </c:pt>
                <c:pt idx="180">
                  <c:v>432.072</c:v>
                </c:pt>
                <c:pt idx="181">
                  <c:v>431.49</c:v>
                </c:pt>
                <c:pt idx="182">
                  <c:v>419.1</c:v>
                </c:pt>
                <c:pt idx="183">
                  <c:v>404.1</c:v>
                </c:pt>
                <c:pt idx="184">
                  <c:v>411.85</c:v>
                </c:pt>
                <c:pt idx="185">
                  <c:v>417.7</c:v>
                </c:pt>
                <c:pt idx="186">
                  <c:v>409.3</c:v>
                </c:pt>
                <c:pt idx="187">
                  <c:v>425.9</c:v>
                </c:pt>
                <c:pt idx="188">
                  <c:v>431.9</c:v>
                </c:pt>
                <c:pt idx="189">
                  <c:v>422.48</c:v>
                </c:pt>
                <c:pt idx="190">
                  <c:v>426.38589999999999</c:v>
                </c:pt>
                <c:pt idx="191">
                  <c:v>426.65170000000001</c:v>
                </c:pt>
                <c:pt idx="192">
                  <c:v>441.08</c:v>
                </c:pt>
                <c:pt idx="193">
                  <c:v>428.36</c:v>
                </c:pt>
                <c:pt idx="194">
                  <c:v>431.05</c:v>
                </c:pt>
                <c:pt idx="195">
                  <c:v>424</c:v>
                </c:pt>
                <c:pt idx="196">
                  <c:v>428</c:v>
                </c:pt>
                <c:pt idx="197">
                  <c:v>435.18389999999999</c:v>
                </c:pt>
                <c:pt idx="198">
                  <c:v>441.8</c:v>
                </c:pt>
                <c:pt idx="199">
                  <c:v>415.05</c:v>
                </c:pt>
                <c:pt idx="200">
                  <c:v>436.83</c:v>
                </c:pt>
                <c:pt idx="201">
                  <c:v>427</c:v>
                </c:pt>
                <c:pt idx="202">
                  <c:v>427.56</c:v>
                </c:pt>
                <c:pt idx="203">
                  <c:v>405.5</c:v>
                </c:pt>
                <c:pt idx="204">
                  <c:v>422.70119999999997</c:v>
                </c:pt>
                <c:pt idx="205">
                  <c:v>417.3</c:v>
                </c:pt>
                <c:pt idx="206">
                  <c:v>424.3</c:v>
                </c:pt>
                <c:pt idx="207">
                  <c:v>440.37</c:v>
                </c:pt>
                <c:pt idx="208">
                  <c:v>418.7</c:v>
                </c:pt>
                <c:pt idx="209">
                  <c:v>428.6352</c:v>
                </c:pt>
                <c:pt idx="210">
                  <c:v>432.08</c:v>
                </c:pt>
                <c:pt idx="211">
                  <c:v>433.43</c:v>
                </c:pt>
                <c:pt idx="212">
                  <c:v>431.738</c:v>
                </c:pt>
                <c:pt idx="213">
                  <c:v>443.6</c:v>
                </c:pt>
                <c:pt idx="214">
                  <c:v>446.4</c:v>
                </c:pt>
                <c:pt idx="215">
                  <c:v>437.83199999999999</c:v>
                </c:pt>
                <c:pt idx="216">
                  <c:v>424.49</c:v>
                </c:pt>
                <c:pt idx="217">
                  <c:v>429.56</c:v>
                </c:pt>
                <c:pt idx="218">
                  <c:v>431.56240000000003</c:v>
                </c:pt>
                <c:pt idx="219">
                  <c:v>439.9896</c:v>
                </c:pt>
                <c:pt idx="220">
                  <c:v>441.27</c:v>
                </c:pt>
                <c:pt idx="221">
                  <c:v>440.25</c:v>
                </c:pt>
                <c:pt idx="222">
                  <c:v>436</c:v>
                </c:pt>
                <c:pt idx="223">
                  <c:v>437.834</c:v>
                </c:pt>
                <c:pt idx="224">
                  <c:v>420.68</c:v>
                </c:pt>
                <c:pt idx="225">
                  <c:v>427</c:v>
                </c:pt>
                <c:pt idx="226">
                  <c:v>424.02600000000001</c:v>
                </c:pt>
                <c:pt idx="227">
                  <c:v>423.7</c:v>
                </c:pt>
                <c:pt idx="228">
                  <c:v>406.18</c:v>
                </c:pt>
                <c:pt idx="229">
                  <c:v>385.42290000000003</c:v>
                </c:pt>
                <c:pt idx="230">
                  <c:v>379.08</c:v>
                </c:pt>
                <c:pt idx="231">
                  <c:v>381.24</c:v>
                </c:pt>
                <c:pt idx="232">
                  <c:v>385.68</c:v>
                </c:pt>
                <c:pt idx="233">
                  <c:v>387.75</c:v>
                </c:pt>
                <c:pt idx="234">
                  <c:v>402.47</c:v>
                </c:pt>
                <c:pt idx="235">
                  <c:v>391.16250000000002</c:v>
                </c:pt>
                <c:pt idx="236">
                  <c:v>396</c:v>
                </c:pt>
                <c:pt idx="237">
                  <c:v>375.13600000000002</c:v>
                </c:pt>
                <c:pt idx="238">
                  <c:v>369.4</c:v>
                </c:pt>
                <c:pt idx="239">
                  <c:v>368.1</c:v>
                </c:pt>
                <c:pt idx="240">
                  <c:v>385.50599999999997</c:v>
                </c:pt>
                <c:pt idx="241">
                  <c:v>379.54</c:v>
                </c:pt>
                <c:pt idx="242">
                  <c:v>380.85</c:v>
                </c:pt>
                <c:pt idx="243">
                  <c:v>369.73</c:v>
                </c:pt>
                <c:pt idx="244">
                  <c:v>365.55</c:v>
                </c:pt>
                <c:pt idx="245">
                  <c:v>364.4</c:v>
                </c:pt>
                <c:pt idx="246">
                  <c:v>366.68459999999999</c:v>
                </c:pt>
                <c:pt idx="247">
                  <c:v>385.53800000000001</c:v>
                </c:pt>
                <c:pt idx="248">
                  <c:v>374.49</c:v>
                </c:pt>
                <c:pt idx="249">
                  <c:v>387.96</c:v>
                </c:pt>
                <c:pt idx="250">
                  <c:v>394.51</c:v>
                </c:pt>
                <c:pt idx="251">
                  <c:v>395.13490000000002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9-2C48-9818-C283AA0469D7}"/>
            </c:ext>
          </c:extLst>
        </c:ser>
        <c:ser>
          <c:idx val="1"/>
          <c:order val="1"/>
          <c:tx>
            <c:strRef>
              <c:f>Lisa!$M$1:$M$2</c:f>
              <c:strCache>
                <c:ptCount val="2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Lisa!$B$3:$B$254</c:f>
              <c:strCache>
                <c:ptCount val="252"/>
                <c:pt idx="0">
                  <c:v>Date</c:v>
                </c:pt>
                <c:pt idx="1">
                  <c:v>03/18/2026</c:v>
                </c:pt>
                <c:pt idx="2">
                  <c:v>03/17/2026</c:v>
                </c:pt>
                <c:pt idx="3">
                  <c:v>03/16/2026</c:v>
                </c:pt>
                <c:pt idx="4">
                  <c:v>03/13/2026</c:v>
                </c:pt>
                <c:pt idx="5">
                  <c:v>03/12/2026</c:v>
                </c:pt>
                <c:pt idx="6">
                  <c:v>03/11/2026</c:v>
                </c:pt>
                <c:pt idx="7">
                  <c:v>03/10/2026</c:v>
                </c:pt>
                <c:pt idx="8">
                  <c:v>03/09/2026</c:v>
                </c:pt>
                <c:pt idx="9">
                  <c:v>03/06/2026</c:v>
                </c:pt>
                <c:pt idx="10">
                  <c:v>03/05/2026</c:v>
                </c:pt>
                <c:pt idx="11">
                  <c:v>03/04/2026</c:v>
                </c:pt>
                <c:pt idx="12">
                  <c:v>03/03/2026</c:v>
                </c:pt>
                <c:pt idx="13">
                  <c:v>03/02/2026</c:v>
                </c:pt>
                <c:pt idx="14">
                  <c:v>02/27/2026</c:v>
                </c:pt>
                <c:pt idx="15">
                  <c:v>02/26/2026</c:v>
                </c:pt>
                <c:pt idx="16">
                  <c:v>02/25/2026</c:v>
                </c:pt>
                <c:pt idx="17">
                  <c:v>02/24/2026</c:v>
                </c:pt>
                <c:pt idx="18">
                  <c:v>02/23/2026</c:v>
                </c:pt>
                <c:pt idx="19">
                  <c:v>02/20/2026</c:v>
                </c:pt>
                <c:pt idx="20">
                  <c:v>02/19/2026</c:v>
                </c:pt>
                <c:pt idx="21">
                  <c:v>02/18/2026</c:v>
                </c:pt>
                <c:pt idx="22">
                  <c:v>02/17/2026</c:v>
                </c:pt>
                <c:pt idx="23">
                  <c:v>02/13/2026</c:v>
                </c:pt>
                <c:pt idx="24">
                  <c:v>02/12/2026</c:v>
                </c:pt>
                <c:pt idx="25">
                  <c:v>02/11/2026</c:v>
                </c:pt>
                <c:pt idx="26">
                  <c:v>02/10/2026</c:v>
                </c:pt>
                <c:pt idx="27">
                  <c:v>02/09/2026</c:v>
                </c:pt>
                <c:pt idx="28">
                  <c:v>02/06/2026</c:v>
                </c:pt>
                <c:pt idx="29">
                  <c:v>02/05/2026</c:v>
                </c:pt>
                <c:pt idx="30">
                  <c:v>02/04/2026</c:v>
                </c:pt>
                <c:pt idx="31">
                  <c:v>02/03/2026</c:v>
                </c:pt>
                <c:pt idx="32">
                  <c:v>02/02/2026</c:v>
                </c:pt>
                <c:pt idx="33">
                  <c:v>01/30/2026</c:v>
                </c:pt>
                <c:pt idx="34">
                  <c:v>01/29/2026</c:v>
                </c:pt>
                <c:pt idx="35">
                  <c:v>01/28/2026</c:v>
                </c:pt>
                <c:pt idx="36">
                  <c:v>01/27/2026</c:v>
                </c:pt>
                <c:pt idx="37">
                  <c:v>01/26/2026</c:v>
                </c:pt>
                <c:pt idx="38">
                  <c:v>01/23/2026</c:v>
                </c:pt>
                <c:pt idx="39">
                  <c:v>01/22/2026</c:v>
                </c:pt>
                <c:pt idx="40">
                  <c:v>01/21/2026</c:v>
                </c:pt>
                <c:pt idx="41">
                  <c:v>01/20/2026</c:v>
                </c:pt>
                <c:pt idx="42">
                  <c:v>01/16/2026</c:v>
                </c:pt>
                <c:pt idx="43">
                  <c:v>01/15/2026</c:v>
                </c:pt>
                <c:pt idx="44">
                  <c:v>01/14/2026</c:v>
                </c:pt>
                <c:pt idx="45">
                  <c:v>01/13/2026</c:v>
                </c:pt>
                <c:pt idx="46">
                  <c:v>01/12/2026</c:v>
                </c:pt>
                <c:pt idx="47">
                  <c:v>01/09/2026</c:v>
                </c:pt>
                <c:pt idx="48">
                  <c:v>01/08/2026</c:v>
                </c:pt>
                <c:pt idx="49">
                  <c:v>01/07/2026</c:v>
                </c:pt>
                <c:pt idx="50">
                  <c:v>01/06/2026</c:v>
                </c:pt>
                <c:pt idx="51">
                  <c:v>01/05/2026</c:v>
                </c:pt>
                <c:pt idx="52">
                  <c:v>01/02/2026</c:v>
                </c:pt>
                <c:pt idx="53">
                  <c:v>12/31/2025</c:v>
                </c:pt>
                <c:pt idx="54">
                  <c:v>12/30/2025</c:v>
                </c:pt>
                <c:pt idx="55">
                  <c:v>12/29/2025</c:v>
                </c:pt>
                <c:pt idx="56">
                  <c:v>12/26/2025</c:v>
                </c:pt>
                <c:pt idx="57">
                  <c:v>12/24/2025</c:v>
                </c:pt>
                <c:pt idx="58">
                  <c:v>12/23/2025</c:v>
                </c:pt>
                <c:pt idx="59">
                  <c:v>12/22/2025</c:v>
                </c:pt>
                <c:pt idx="60">
                  <c:v>12/19/2025</c:v>
                </c:pt>
                <c:pt idx="61">
                  <c:v>12/18/2025</c:v>
                </c:pt>
                <c:pt idx="62">
                  <c:v>12/17/2025</c:v>
                </c:pt>
                <c:pt idx="63">
                  <c:v>12/16/2025</c:v>
                </c:pt>
                <c:pt idx="64">
                  <c:v>12/15/2025</c:v>
                </c:pt>
                <c:pt idx="65">
                  <c:v>12/12/2025</c:v>
                </c:pt>
                <c:pt idx="66">
                  <c:v>12/11/2025</c:v>
                </c:pt>
                <c:pt idx="67">
                  <c:v>12/10/2025</c:v>
                </c:pt>
                <c:pt idx="68">
                  <c:v>12/09/2025</c:v>
                </c:pt>
                <c:pt idx="69">
                  <c:v>12/08/2025</c:v>
                </c:pt>
                <c:pt idx="70">
                  <c:v>12/05/2025</c:v>
                </c:pt>
                <c:pt idx="71">
                  <c:v>12/04/2025</c:v>
                </c:pt>
                <c:pt idx="72">
                  <c:v>12/03/2025</c:v>
                </c:pt>
                <c:pt idx="73">
                  <c:v>12/02/2025</c:v>
                </c:pt>
                <c:pt idx="74">
                  <c:v>12/01/2025</c:v>
                </c:pt>
                <c:pt idx="75">
                  <c:v>11/28/2025</c:v>
                </c:pt>
                <c:pt idx="76">
                  <c:v>11/26/2025</c:v>
                </c:pt>
                <c:pt idx="77">
                  <c:v>11/25/2025</c:v>
                </c:pt>
                <c:pt idx="78">
                  <c:v>11/24/2025</c:v>
                </c:pt>
                <c:pt idx="79">
                  <c:v>11/21/2025</c:v>
                </c:pt>
                <c:pt idx="80">
                  <c:v>11/20/2025</c:v>
                </c:pt>
                <c:pt idx="81">
                  <c:v>11/19/2025</c:v>
                </c:pt>
                <c:pt idx="82">
                  <c:v>11/18/2025</c:v>
                </c:pt>
                <c:pt idx="83">
                  <c:v>11/17/2025</c:v>
                </c:pt>
                <c:pt idx="84">
                  <c:v>11/14/2025</c:v>
                </c:pt>
                <c:pt idx="85">
                  <c:v>11/13/2025</c:v>
                </c:pt>
                <c:pt idx="86">
                  <c:v>11/12/2025</c:v>
                </c:pt>
                <c:pt idx="87">
                  <c:v>11/11/2025</c:v>
                </c:pt>
                <c:pt idx="88">
                  <c:v>11/10/2025</c:v>
                </c:pt>
                <c:pt idx="89">
                  <c:v>11/07/2025</c:v>
                </c:pt>
                <c:pt idx="90">
                  <c:v>11/06/2025</c:v>
                </c:pt>
                <c:pt idx="91">
                  <c:v>11/05/2025</c:v>
                </c:pt>
                <c:pt idx="92">
                  <c:v>11/04/2025</c:v>
                </c:pt>
                <c:pt idx="93">
                  <c:v>11/03/2025</c:v>
                </c:pt>
                <c:pt idx="94">
                  <c:v>10/31/2025</c:v>
                </c:pt>
                <c:pt idx="95">
                  <c:v>10/30/2025</c:v>
                </c:pt>
                <c:pt idx="96">
                  <c:v>10/29/2025</c:v>
                </c:pt>
                <c:pt idx="97">
                  <c:v>10/28/2025</c:v>
                </c:pt>
                <c:pt idx="98">
                  <c:v>10/27/2025</c:v>
                </c:pt>
                <c:pt idx="99">
                  <c:v>10/24/2025</c:v>
                </c:pt>
                <c:pt idx="100">
                  <c:v>10/23/2025</c:v>
                </c:pt>
                <c:pt idx="101">
                  <c:v>10/22/2025</c:v>
                </c:pt>
                <c:pt idx="102">
                  <c:v>10/21/2025</c:v>
                </c:pt>
                <c:pt idx="103">
                  <c:v>10/20/2025</c:v>
                </c:pt>
                <c:pt idx="104">
                  <c:v>10/17/2025</c:v>
                </c:pt>
                <c:pt idx="105">
                  <c:v>10/16/2025</c:v>
                </c:pt>
                <c:pt idx="106">
                  <c:v>10/15/2025</c:v>
                </c:pt>
                <c:pt idx="107">
                  <c:v>10/14/2025</c:v>
                </c:pt>
                <c:pt idx="108">
                  <c:v>10/13/2025</c:v>
                </c:pt>
                <c:pt idx="109">
                  <c:v>10/10/2025</c:v>
                </c:pt>
                <c:pt idx="110">
                  <c:v>10/09/2025</c:v>
                </c:pt>
                <c:pt idx="111">
                  <c:v>10/08/2025</c:v>
                </c:pt>
                <c:pt idx="112">
                  <c:v>10/07/2025</c:v>
                </c:pt>
                <c:pt idx="113">
                  <c:v>10/06/2025</c:v>
                </c:pt>
                <c:pt idx="114">
                  <c:v>10/03/2025</c:v>
                </c:pt>
                <c:pt idx="115">
                  <c:v>10/02/2025</c:v>
                </c:pt>
                <c:pt idx="116">
                  <c:v>10/01/2025</c:v>
                </c:pt>
                <c:pt idx="117">
                  <c:v>09/30/2025</c:v>
                </c:pt>
                <c:pt idx="118">
                  <c:v>09/29/2025</c:v>
                </c:pt>
                <c:pt idx="119">
                  <c:v>09/26/2025</c:v>
                </c:pt>
                <c:pt idx="120">
                  <c:v>09/25/2025</c:v>
                </c:pt>
                <c:pt idx="121">
                  <c:v>09/24/2025</c:v>
                </c:pt>
                <c:pt idx="122">
                  <c:v>09/23/2025</c:v>
                </c:pt>
                <c:pt idx="123">
                  <c:v>09/22/2025</c:v>
                </c:pt>
                <c:pt idx="124">
                  <c:v>09/19/2025</c:v>
                </c:pt>
                <c:pt idx="125">
                  <c:v>09/18/2025</c:v>
                </c:pt>
                <c:pt idx="126">
                  <c:v>09/17/2025</c:v>
                </c:pt>
                <c:pt idx="127">
                  <c:v>09/16/2025</c:v>
                </c:pt>
                <c:pt idx="128">
                  <c:v>09/15/2025</c:v>
                </c:pt>
                <c:pt idx="129">
                  <c:v>09/12/2025</c:v>
                </c:pt>
                <c:pt idx="130">
                  <c:v>09/11/2025</c:v>
                </c:pt>
                <c:pt idx="131">
                  <c:v>09/10/2025</c:v>
                </c:pt>
                <c:pt idx="132">
                  <c:v>09/09/2025</c:v>
                </c:pt>
                <c:pt idx="133">
                  <c:v>09/08/2025</c:v>
                </c:pt>
                <c:pt idx="134">
                  <c:v>09/05/2025</c:v>
                </c:pt>
                <c:pt idx="135">
                  <c:v>09/04/2025</c:v>
                </c:pt>
                <c:pt idx="136">
                  <c:v>09/03/2025</c:v>
                </c:pt>
                <c:pt idx="137">
                  <c:v>09/02/2025</c:v>
                </c:pt>
                <c:pt idx="138">
                  <c:v>08/29/2025</c:v>
                </c:pt>
                <c:pt idx="139">
                  <c:v>08/28/2025</c:v>
                </c:pt>
                <c:pt idx="140">
                  <c:v>08/27/2025</c:v>
                </c:pt>
                <c:pt idx="141">
                  <c:v>08/26/2025</c:v>
                </c:pt>
                <c:pt idx="142">
                  <c:v>08/25/2025</c:v>
                </c:pt>
                <c:pt idx="143">
                  <c:v>08/22/2025</c:v>
                </c:pt>
                <c:pt idx="144">
                  <c:v>08/21/2025</c:v>
                </c:pt>
                <c:pt idx="145">
                  <c:v>08/20/2025</c:v>
                </c:pt>
                <c:pt idx="146">
                  <c:v>08/19/2025</c:v>
                </c:pt>
                <c:pt idx="147">
                  <c:v>08/18/2025</c:v>
                </c:pt>
                <c:pt idx="148">
                  <c:v>08/15/2025</c:v>
                </c:pt>
                <c:pt idx="149">
                  <c:v>08/14/2025</c:v>
                </c:pt>
                <c:pt idx="150">
                  <c:v>08/13/2025</c:v>
                </c:pt>
                <c:pt idx="151">
                  <c:v>08/12/2025</c:v>
                </c:pt>
                <c:pt idx="152">
                  <c:v>08/11/2025</c:v>
                </c:pt>
                <c:pt idx="153">
                  <c:v>08/08/2025</c:v>
                </c:pt>
                <c:pt idx="154">
                  <c:v>08/07/2025</c:v>
                </c:pt>
                <c:pt idx="155">
                  <c:v>08/06/2025</c:v>
                </c:pt>
                <c:pt idx="156">
                  <c:v>08/05/2025</c:v>
                </c:pt>
                <c:pt idx="157">
                  <c:v>08/04/2025</c:v>
                </c:pt>
                <c:pt idx="158">
                  <c:v>08/01/2025</c:v>
                </c:pt>
                <c:pt idx="159">
                  <c:v>07/31/2025</c:v>
                </c:pt>
                <c:pt idx="160">
                  <c:v>07/30/2025</c:v>
                </c:pt>
                <c:pt idx="161">
                  <c:v>07/29/2025</c:v>
                </c:pt>
                <c:pt idx="162">
                  <c:v>07/28/2025</c:v>
                </c:pt>
                <c:pt idx="163">
                  <c:v>07/25/2025</c:v>
                </c:pt>
                <c:pt idx="164">
                  <c:v>07/24/2025</c:v>
                </c:pt>
                <c:pt idx="165">
                  <c:v>07/23/2025</c:v>
                </c:pt>
                <c:pt idx="166">
                  <c:v>07/22/2025</c:v>
                </c:pt>
                <c:pt idx="167">
                  <c:v>07/21/2025</c:v>
                </c:pt>
                <c:pt idx="168">
                  <c:v>07/18/2025</c:v>
                </c:pt>
                <c:pt idx="169">
                  <c:v>07/17/2025</c:v>
                </c:pt>
                <c:pt idx="170">
                  <c:v>07/16/2025</c:v>
                </c:pt>
                <c:pt idx="171">
                  <c:v>07/15/2025</c:v>
                </c:pt>
                <c:pt idx="172">
                  <c:v>07/14/2025</c:v>
                </c:pt>
                <c:pt idx="173">
                  <c:v>07/11/2025</c:v>
                </c:pt>
                <c:pt idx="174">
                  <c:v>07/10/2025</c:v>
                </c:pt>
                <c:pt idx="175">
                  <c:v>07/09/2025</c:v>
                </c:pt>
                <c:pt idx="176">
                  <c:v>07/08/2025</c:v>
                </c:pt>
                <c:pt idx="177">
                  <c:v>07/07/2025</c:v>
                </c:pt>
                <c:pt idx="178">
                  <c:v>07/03/2025</c:v>
                </c:pt>
                <c:pt idx="179">
                  <c:v>07/02/2025</c:v>
                </c:pt>
                <c:pt idx="180">
                  <c:v>07/01/2025</c:v>
                </c:pt>
                <c:pt idx="181">
                  <c:v>06/30/2025</c:v>
                </c:pt>
                <c:pt idx="182">
                  <c:v>06/27/2025</c:v>
                </c:pt>
                <c:pt idx="183">
                  <c:v>06/26/2025</c:v>
                </c:pt>
                <c:pt idx="184">
                  <c:v>06/25/2025</c:v>
                </c:pt>
                <c:pt idx="185">
                  <c:v>06/24/2025</c:v>
                </c:pt>
                <c:pt idx="186">
                  <c:v>06/23/2025</c:v>
                </c:pt>
                <c:pt idx="187">
                  <c:v>06/20/2025</c:v>
                </c:pt>
                <c:pt idx="188">
                  <c:v>06/18/2025</c:v>
                </c:pt>
                <c:pt idx="189">
                  <c:v>06/17/2025</c:v>
                </c:pt>
                <c:pt idx="190">
                  <c:v>06/16/2025</c:v>
                </c:pt>
                <c:pt idx="191">
                  <c:v>06/13/2025</c:v>
                </c:pt>
                <c:pt idx="192">
                  <c:v>06/12/2025</c:v>
                </c:pt>
                <c:pt idx="193">
                  <c:v>06/11/2025</c:v>
                </c:pt>
                <c:pt idx="194">
                  <c:v>06/10/2025</c:v>
                </c:pt>
                <c:pt idx="195">
                  <c:v>06/09/2025</c:v>
                </c:pt>
                <c:pt idx="196">
                  <c:v>06/06/2025</c:v>
                </c:pt>
                <c:pt idx="197">
                  <c:v>06/05/2025</c:v>
                </c:pt>
                <c:pt idx="198">
                  <c:v>06/04/2025</c:v>
                </c:pt>
                <c:pt idx="199">
                  <c:v>06/03/2025</c:v>
                </c:pt>
                <c:pt idx="200">
                  <c:v>06/02/2025</c:v>
                </c:pt>
                <c:pt idx="201">
                  <c:v>05/30/2025</c:v>
                </c:pt>
                <c:pt idx="202">
                  <c:v>05/29/2025</c:v>
                </c:pt>
                <c:pt idx="203">
                  <c:v>05/28/2025</c:v>
                </c:pt>
                <c:pt idx="204">
                  <c:v>05/27/2025</c:v>
                </c:pt>
                <c:pt idx="205">
                  <c:v>05/23/2025</c:v>
                </c:pt>
                <c:pt idx="206">
                  <c:v>05/22/2025</c:v>
                </c:pt>
                <c:pt idx="207">
                  <c:v>05/21/2025</c:v>
                </c:pt>
                <c:pt idx="208">
                  <c:v>05/20/2025</c:v>
                </c:pt>
                <c:pt idx="209">
                  <c:v>05/19/2025</c:v>
                </c:pt>
                <c:pt idx="210">
                  <c:v>05/16/2025</c:v>
                </c:pt>
                <c:pt idx="211">
                  <c:v>05/15/2025</c:v>
                </c:pt>
                <c:pt idx="212">
                  <c:v>05/14/2025</c:v>
                </c:pt>
                <c:pt idx="213">
                  <c:v>05/13/2025</c:v>
                </c:pt>
                <c:pt idx="214">
                  <c:v>05/12/2025</c:v>
                </c:pt>
                <c:pt idx="215">
                  <c:v>05/09/2025</c:v>
                </c:pt>
                <c:pt idx="216">
                  <c:v>05/08/2025</c:v>
                </c:pt>
                <c:pt idx="217">
                  <c:v>05/07/2025</c:v>
                </c:pt>
                <c:pt idx="218">
                  <c:v>05/06/2025</c:v>
                </c:pt>
                <c:pt idx="219">
                  <c:v>05/05/2025</c:v>
                </c:pt>
                <c:pt idx="220">
                  <c:v>05/02/2025</c:v>
                </c:pt>
                <c:pt idx="221">
                  <c:v>05/01/2025</c:v>
                </c:pt>
                <c:pt idx="222">
                  <c:v>04/30/2025</c:v>
                </c:pt>
                <c:pt idx="223">
                  <c:v>04/29/2025</c:v>
                </c:pt>
                <c:pt idx="224">
                  <c:v>04/28/2025</c:v>
                </c:pt>
                <c:pt idx="225">
                  <c:v>04/25/2025</c:v>
                </c:pt>
                <c:pt idx="226">
                  <c:v>04/24/2025</c:v>
                </c:pt>
                <c:pt idx="227">
                  <c:v>04/23/2025</c:v>
                </c:pt>
                <c:pt idx="228">
                  <c:v>04/22/2025</c:v>
                </c:pt>
                <c:pt idx="229">
                  <c:v>04/21/2025</c:v>
                </c:pt>
                <c:pt idx="230">
                  <c:v>04/17/2025</c:v>
                </c:pt>
                <c:pt idx="231">
                  <c:v>04/16/2025</c:v>
                </c:pt>
                <c:pt idx="232">
                  <c:v>04/15/2025</c:v>
                </c:pt>
                <c:pt idx="233">
                  <c:v>04/14/2025</c:v>
                </c:pt>
                <c:pt idx="234">
                  <c:v>04/11/2025</c:v>
                </c:pt>
                <c:pt idx="235">
                  <c:v>04/10/2025</c:v>
                </c:pt>
                <c:pt idx="236">
                  <c:v>04/09/2025</c:v>
                </c:pt>
                <c:pt idx="237">
                  <c:v>04/08/2025</c:v>
                </c:pt>
                <c:pt idx="238">
                  <c:v>04/07/2025</c:v>
                </c:pt>
                <c:pt idx="239">
                  <c:v>04/04/2025</c:v>
                </c:pt>
                <c:pt idx="240">
                  <c:v>04/03/2025</c:v>
                </c:pt>
                <c:pt idx="241">
                  <c:v>04/02/2025</c:v>
                </c:pt>
                <c:pt idx="242">
                  <c:v>04/01/2025</c:v>
                </c:pt>
                <c:pt idx="243">
                  <c:v>03/31/2025</c:v>
                </c:pt>
                <c:pt idx="244">
                  <c:v>03/28/2025</c:v>
                </c:pt>
                <c:pt idx="245">
                  <c:v>03/27/2025</c:v>
                </c:pt>
                <c:pt idx="246">
                  <c:v>03/26/2025</c:v>
                </c:pt>
                <c:pt idx="247">
                  <c:v>03/25/2025</c:v>
                </c:pt>
                <c:pt idx="248">
                  <c:v>03/24/2025</c:v>
                </c:pt>
                <c:pt idx="249">
                  <c:v>03/21/2025</c:v>
                </c:pt>
                <c:pt idx="250">
                  <c:v>03/20/2025</c:v>
                </c:pt>
                <c:pt idx="251">
                  <c:v>03/19/2025</c:v>
                </c:pt>
              </c:strCache>
            </c:strRef>
          </c:cat>
          <c:val>
            <c:numRef>
              <c:f>Lisa!$M$3:$M$254</c:f>
              <c:numCache>
                <c:formatCode>General</c:formatCode>
                <c:ptCount val="252"/>
                <c:pt idx="0">
                  <c:v>0</c:v>
                </c:pt>
                <c:pt idx="1">
                  <c:v>996.11150882812547</c:v>
                </c:pt>
                <c:pt idx="2">
                  <c:v>965.5589006051249</c:v>
                </c:pt>
                <c:pt idx="3">
                  <c:v>963.74250026965206</c:v>
                </c:pt>
                <c:pt idx="4">
                  <c:v>977.79824015418342</c:v>
                </c:pt>
                <c:pt idx="5">
                  <c:v>985.51212323118</c:v>
                </c:pt>
                <c:pt idx="6">
                  <c:v>990.27479911077978</c:v>
                </c:pt>
                <c:pt idx="7">
                  <c:v>994.82567998162847</c:v>
                </c:pt>
                <c:pt idx="8">
                  <c:v>970.05876761059915</c:v>
                </c:pt>
                <c:pt idx="9">
                  <c:v>1002.5594089360299</c:v>
                </c:pt>
                <c:pt idx="10">
                  <c:v>1040.7119497611902</c:v>
                </c:pt>
                <c:pt idx="11">
                  <c:v>1059.8608705525469</c:v>
                </c:pt>
                <c:pt idx="12">
                  <c:v>1020.1828113654291</c:v>
                </c:pt>
                <c:pt idx="13">
                  <c:v>996.06434551811276</c:v>
                </c:pt>
                <c:pt idx="14">
                  <c:v>997.27349083079162</c:v>
                </c:pt>
                <c:pt idx="15">
                  <c:v>981.91155165502289</c:v>
                </c:pt>
                <c:pt idx="16">
                  <c:v>977.81374568908598</c:v>
                </c:pt>
                <c:pt idx="17">
                  <c:v>960.66837115805788</c:v>
                </c:pt>
                <c:pt idx="18">
                  <c:v>959.13389356623088</c:v>
                </c:pt>
                <c:pt idx="19">
                  <c:v>982.50818195936233</c:v>
                </c:pt>
                <c:pt idx="20">
                  <c:v>967.11680552309531</c:v>
                </c:pt>
                <c:pt idx="21">
                  <c:v>975.07904392225271</c:v>
                </c:pt>
                <c:pt idx="22">
                  <c:v>952.5887309579665</c:v>
                </c:pt>
                <c:pt idx="23">
                  <c:v>960.09108867390785</c:v>
                </c:pt>
                <c:pt idx="24">
                  <c:v>945.17893004874827</c:v>
                </c:pt>
                <c:pt idx="25">
                  <c:v>931.28220847815737</c:v>
                </c:pt>
                <c:pt idx="26">
                  <c:v>924.31945713520645</c:v>
                </c:pt>
                <c:pt idx="27">
                  <c:v>928.34642795804155</c:v>
                </c:pt>
                <c:pt idx="28">
                  <c:v>907.53881586116711</c:v>
                </c:pt>
                <c:pt idx="29">
                  <c:v>918.92439200181309</c:v>
                </c:pt>
                <c:pt idx="30">
                  <c:v>932.12562259668687</c:v>
                </c:pt>
                <c:pt idx="31">
                  <c:v>942.09240494368873</c:v>
                </c:pt>
                <c:pt idx="32">
                  <c:v>944.171500385012</c:v>
                </c:pt>
                <c:pt idx="33">
                  <c:v>956.46624896190485</c:v>
                </c:pt>
                <c:pt idx="34">
                  <c:v>915.21334037189979</c:v>
                </c:pt>
                <c:pt idx="35">
                  <c:v>905.27621365710172</c:v>
                </c:pt>
                <c:pt idx="36">
                  <c:v>897.41581918356792</c:v>
                </c:pt>
                <c:pt idx="37">
                  <c:v>888.90020076900385</c:v>
                </c:pt>
                <c:pt idx="38">
                  <c:v>879.5674646013191</c:v>
                </c:pt>
                <c:pt idx="39">
                  <c:v>864.48475905997873</c:v>
                </c:pt>
                <c:pt idx="40">
                  <c:v>823.46307720592688</c:v>
                </c:pt>
                <c:pt idx="41">
                  <c:v>797.10257747314097</c:v>
                </c:pt>
                <c:pt idx="42">
                  <c:v>813.02236490128712</c:v>
                </c:pt>
                <c:pt idx="43">
                  <c:v>871.07318103816658</c:v>
                </c:pt>
                <c:pt idx="44">
                  <c:v>896.10141925646735</c:v>
                </c:pt>
                <c:pt idx="45">
                  <c:v>882.60781470648567</c:v>
                </c:pt>
                <c:pt idx="46">
                  <c:v>865.15083382935802</c:v>
                </c:pt>
                <c:pt idx="47">
                  <c:v>820.7662972580265</c:v>
                </c:pt>
                <c:pt idx="48">
                  <c:v>835.20230106519568</c:v>
                </c:pt>
                <c:pt idx="49">
                  <c:v>838.83342683864885</c:v>
                </c:pt>
                <c:pt idx="50">
                  <c:v>865.22481292553584</c:v>
                </c:pt>
                <c:pt idx="51">
                  <c:v>905.66474164011436</c:v>
                </c:pt>
                <c:pt idx="52">
                  <c:v>837.02759547787093</c:v>
                </c:pt>
                <c:pt idx="53">
                  <c:v>835.72120760526377</c:v>
                </c:pt>
                <c:pt idx="54">
                  <c:v>792.4429355687929</c:v>
                </c:pt>
                <c:pt idx="55">
                  <c:v>836.24199501129385</c:v>
                </c:pt>
                <c:pt idx="56">
                  <c:v>838.06700872835825</c:v>
                </c:pt>
                <c:pt idx="57">
                  <c:v>841.98452889239206</c:v>
                </c:pt>
                <c:pt idx="58">
                  <c:v>834.24969418997807</c:v>
                </c:pt>
                <c:pt idx="59">
                  <c:v>842.2662516283068</c:v>
                </c:pt>
                <c:pt idx="60">
                  <c:v>821.23205927515528</c:v>
                </c:pt>
                <c:pt idx="61">
                  <c:v>788.65019099846779</c:v>
                </c:pt>
                <c:pt idx="62">
                  <c:v>765.24495397020883</c:v>
                </c:pt>
                <c:pt idx="63">
                  <c:v>786.571762855006</c:v>
                </c:pt>
                <c:pt idx="64">
                  <c:v>765.13800574915069</c:v>
                </c:pt>
                <c:pt idx="65">
                  <c:v>758.55662679087106</c:v>
                </c:pt>
                <c:pt idx="66">
                  <c:v>771.04345341818123</c:v>
                </c:pt>
                <c:pt idx="67">
                  <c:v>776.50975530749474</c:v>
                </c:pt>
                <c:pt idx="68">
                  <c:v>754.46924158890124</c:v>
                </c:pt>
                <c:pt idx="69">
                  <c:v>721.61627494530524</c:v>
                </c:pt>
                <c:pt idx="70">
                  <c:v>731.90308605296559</c:v>
                </c:pt>
                <c:pt idx="71">
                  <c:v>757.16096771771879</c:v>
                </c:pt>
                <c:pt idx="72">
                  <c:v>763.59148182758599</c:v>
                </c:pt>
                <c:pt idx="73">
                  <c:v>766.16653516640281</c:v>
                </c:pt>
                <c:pt idx="74">
                  <c:v>773.92712002624683</c:v>
                </c:pt>
                <c:pt idx="75">
                  <c:v>763.46290529335556</c:v>
                </c:pt>
                <c:pt idx="76">
                  <c:v>794.20051660430192</c:v>
                </c:pt>
                <c:pt idx="77">
                  <c:v>775.18877065964682</c:v>
                </c:pt>
                <c:pt idx="78">
                  <c:v>734.22712398987733</c:v>
                </c:pt>
                <c:pt idx="79">
                  <c:v>723.45717973341232</c:v>
                </c:pt>
                <c:pt idx="80">
                  <c:v>742.84266788916818</c:v>
                </c:pt>
                <c:pt idx="81">
                  <c:v>731.42327822683092</c:v>
                </c:pt>
                <c:pt idx="82">
                  <c:v>720.98711322732208</c:v>
                </c:pt>
                <c:pt idx="83">
                  <c:v>710.174341569391</c:v>
                </c:pt>
                <c:pt idx="84">
                  <c:v>712.77133911838484</c:v>
                </c:pt>
                <c:pt idx="85">
                  <c:v>724.72513864677296</c:v>
                </c:pt>
                <c:pt idx="86">
                  <c:v>731.02032717956558</c:v>
                </c:pt>
                <c:pt idx="87">
                  <c:v>756.49569965436262</c:v>
                </c:pt>
                <c:pt idx="88">
                  <c:v>752.99223384743561</c:v>
                </c:pt>
                <c:pt idx="89">
                  <c:v>755.01673903305084</c:v>
                </c:pt>
                <c:pt idx="90">
                  <c:v>749.16195081520914</c:v>
                </c:pt>
                <c:pt idx="91">
                  <c:v>759.31482536055171</c:v>
                </c:pt>
                <c:pt idx="92">
                  <c:v>733.21632115120974</c:v>
                </c:pt>
                <c:pt idx="93">
                  <c:v>717.21368312705431</c:v>
                </c:pt>
                <c:pt idx="94">
                  <c:v>712.91725886629195</c:v>
                </c:pt>
                <c:pt idx="95">
                  <c:v>695.64461980425108</c:v>
                </c:pt>
                <c:pt idx="96">
                  <c:v>686.95519807607991</c:v>
                </c:pt>
                <c:pt idx="97">
                  <c:v>722.48698893200901</c:v>
                </c:pt>
                <c:pt idx="98">
                  <c:v>723.98784922060031</c:v>
                </c:pt>
                <c:pt idx="99">
                  <c:v>725.977659863859</c:v>
                </c:pt>
                <c:pt idx="100">
                  <c:v>716.75621273345439</c:v>
                </c:pt>
                <c:pt idx="101">
                  <c:v>720.09670326572893</c:v>
                </c:pt>
                <c:pt idx="102">
                  <c:v>724.93028258346328</c:v>
                </c:pt>
                <c:pt idx="103">
                  <c:v>702.74569515081407</c:v>
                </c:pt>
                <c:pt idx="104">
                  <c:v>700.69274062685668</c:v>
                </c:pt>
                <c:pt idx="105">
                  <c:v>685.56160302206069</c:v>
                </c:pt>
                <c:pt idx="106">
                  <c:v>681.09859075085626</c:v>
                </c:pt>
                <c:pt idx="107">
                  <c:v>697.12246860942514</c:v>
                </c:pt>
                <c:pt idx="108">
                  <c:v>720.84285541384747</c:v>
                </c:pt>
                <c:pt idx="109">
                  <c:v>697.80413259143916</c:v>
                </c:pt>
                <c:pt idx="110">
                  <c:v>724.8532581187219</c:v>
                </c:pt>
                <c:pt idx="111">
                  <c:v>739.26292890204331</c:v>
                </c:pt>
                <c:pt idx="112">
                  <c:v>716.68032241077776</c:v>
                </c:pt>
                <c:pt idx="113">
                  <c:v>727.92902618437381</c:v>
                </c:pt>
                <c:pt idx="114">
                  <c:v>716.77119325519584</c:v>
                </c:pt>
                <c:pt idx="115">
                  <c:v>739.47852979556785</c:v>
                </c:pt>
                <c:pt idx="116">
                  <c:v>753.28260661671686</c:v>
                </c:pt>
                <c:pt idx="117">
                  <c:v>778.49517187855338</c:v>
                </c:pt>
                <c:pt idx="118">
                  <c:v>791.18507066224834</c:v>
                </c:pt>
                <c:pt idx="119">
                  <c:v>765.10593306301382</c:v>
                </c:pt>
                <c:pt idx="120">
                  <c:v>783.7628428672823</c:v>
                </c:pt>
                <c:pt idx="121">
                  <c:v>804.54483929509524</c:v>
                </c:pt>
                <c:pt idx="122">
                  <c:v>780.53811585895596</c:v>
                </c:pt>
                <c:pt idx="123">
                  <c:v>774.33874902358843</c:v>
                </c:pt>
                <c:pt idx="124">
                  <c:v>760.58284088531479</c:v>
                </c:pt>
                <c:pt idx="125">
                  <c:v>733.20564391558958</c:v>
                </c:pt>
                <c:pt idx="126">
                  <c:v>707.30047815224464</c:v>
                </c:pt>
                <c:pt idx="127">
                  <c:v>692.96770547424046</c:v>
                </c:pt>
                <c:pt idx="128">
                  <c:v>684.96375897443954</c:v>
                </c:pt>
                <c:pt idx="129">
                  <c:v>670.55530288472619</c:v>
                </c:pt>
                <c:pt idx="130">
                  <c:v>628.38101220722763</c:v>
                </c:pt>
                <c:pt idx="131">
                  <c:v>591.89427888796672</c:v>
                </c:pt>
                <c:pt idx="132">
                  <c:v>595.522661273219</c:v>
                </c:pt>
                <c:pt idx="133">
                  <c:v>586.76130055157239</c:v>
                </c:pt>
                <c:pt idx="134">
                  <c:v>596.32396247017198</c:v>
                </c:pt>
                <c:pt idx="135">
                  <c:v>579.55823652905951</c:v>
                </c:pt>
                <c:pt idx="136">
                  <c:v>598.50763708676413</c:v>
                </c:pt>
                <c:pt idx="137">
                  <c:v>608.51258187548103</c:v>
                </c:pt>
                <c:pt idx="138">
                  <c:v>601.86387594058192</c:v>
                </c:pt>
                <c:pt idx="139">
                  <c:v>574.40049392959804</c:v>
                </c:pt>
                <c:pt idx="140">
                  <c:v>565.52020664841746</c:v>
                </c:pt>
                <c:pt idx="141">
                  <c:v>572.42799479621431</c:v>
                </c:pt>
                <c:pt idx="142">
                  <c:v>566.92666451796867</c:v>
                </c:pt>
                <c:pt idx="143">
                  <c:v>588.33519404348567</c:v>
                </c:pt>
                <c:pt idx="144">
                  <c:v>610.17405581106175</c:v>
                </c:pt>
                <c:pt idx="145">
                  <c:v>596.11622014687362</c:v>
                </c:pt>
                <c:pt idx="146">
                  <c:v>607.50687679983082</c:v>
                </c:pt>
                <c:pt idx="147">
                  <c:v>617.12599021939184</c:v>
                </c:pt>
                <c:pt idx="148">
                  <c:v>607.10650776858506</c:v>
                </c:pt>
                <c:pt idx="149">
                  <c:v>593.2158008929016</c:v>
                </c:pt>
                <c:pt idx="150">
                  <c:v>584.71227760565364</c:v>
                </c:pt>
                <c:pt idx="151">
                  <c:v>589.10749190278409</c:v>
                </c:pt>
                <c:pt idx="152">
                  <c:v>617.19239437324529</c:v>
                </c:pt>
                <c:pt idx="153">
                  <c:v>573.4088859956878</c:v>
                </c:pt>
                <c:pt idx="154">
                  <c:v>574.87981699559919</c:v>
                </c:pt>
                <c:pt idx="155">
                  <c:v>573.88025581334477</c:v>
                </c:pt>
                <c:pt idx="156">
                  <c:v>582.7005494330042</c:v>
                </c:pt>
                <c:pt idx="157">
                  <c:v>582.19252503482664</c:v>
                </c:pt>
                <c:pt idx="158">
                  <c:v>592.47067487045013</c:v>
                </c:pt>
                <c:pt idx="159">
                  <c:v>604.33310678610087</c:v>
                </c:pt>
                <c:pt idx="160">
                  <c:v>574.88657586522584</c:v>
                </c:pt>
                <c:pt idx="161">
                  <c:v>589.5475877896024</c:v>
                </c:pt>
                <c:pt idx="162">
                  <c:v>575.92641568111912</c:v>
                </c:pt>
                <c:pt idx="163">
                  <c:v>572.64326725184367</c:v>
                </c:pt>
                <c:pt idx="164">
                  <c:v>595.59555621515267</c:v>
                </c:pt>
                <c:pt idx="165">
                  <c:v>589.94530685281006</c:v>
                </c:pt>
                <c:pt idx="166">
                  <c:v>576.05904699501787</c:v>
                </c:pt>
                <c:pt idx="167">
                  <c:v>571.79527253910294</c:v>
                </c:pt>
                <c:pt idx="168">
                  <c:v>556.7982353776099</c:v>
                </c:pt>
                <c:pt idx="169">
                  <c:v>561.57546887224498</c:v>
                </c:pt>
                <c:pt idx="170">
                  <c:v>542.36040180343855</c:v>
                </c:pt>
                <c:pt idx="171">
                  <c:v>540.83137767655387</c:v>
                </c:pt>
                <c:pt idx="172">
                  <c:v>537.39007962887695</c:v>
                </c:pt>
                <c:pt idx="173">
                  <c:v>537.1395363061182</c:v>
                </c:pt>
                <c:pt idx="174">
                  <c:v>535.13551290203725</c:v>
                </c:pt>
                <c:pt idx="175">
                  <c:v>538.56183055346594</c:v>
                </c:pt>
                <c:pt idx="176">
                  <c:v>539.58048041632389</c:v>
                </c:pt>
                <c:pt idx="177">
                  <c:v>527.59906602213334</c:v>
                </c:pt>
                <c:pt idx="178">
                  <c:v>499.87546589871516</c:v>
                </c:pt>
                <c:pt idx="179">
                  <c:v>530.2397446872277</c:v>
                </c:pt>
                <c:pt idx="180">
                  <c:v>544.28432147221918</c:v>
                </c:pt>
                <c:pt idx="181">
                  <c:v>536.19896651031161</c:v>
                </c:pt>
                <c:pt idx="182">
                  <c:v>537.59289023831161</c:v>
                </c:pt>
                <c:pt idx="183">
                  <c:v>553.75610202623488</c:v>
                </c:pt>
                <c:pt idx="184">
                  <c:v>564.84976922366513</c:v>
                </c:pt>
                <c:pt idx="185">
                  <c:v>563.87348739817537</c:v>
                </c:pt>
                <c:pt idx="186">
                  <c:v>561.98558568991825</c:v>
                </c:pt>
                <c:pt idx="187">
                  <c:v>585.42514738368493</c:v>
                </c:pt>
                <c:pt idx="188">
                  <c:v>565.94385761845263</c:v>
                </c:pt>
                <c:pt idx="189">
                  <c:v>566.32856184916932</c:v>
                </c:pt>
                <c:pt idx="190">
                  <c:v>582.35857448902425</c:v>
                </c:pt>
                <c:pt idx="191">
                  <c:v>570.86010553463097</c:v>
                </c:pt>
                <c:pt idx="192">
                  <c:v>566.72086372991635</c:v>
                </c:pt>
                <c:pt idx="193">
                  <c:v>570.76130663968081</c:v>
                </c:pt>
                <c:pt idx="194">
                  <c:v>578.41686662609948</c:v>
                </c:pt>
                <c:pt idx="195">
                  <c:v>580.6882526395392</c:v>
                </c:pt>
                <c:pt idx="196">
                  <c:v>586.57784293932878</c:v>
                </c:pt>
                <c:pt idx="197">
                  <c:v>568.14182467171656</c:v>
                </c:pt>
                <c:pt idx="198">
                  <c:v>566.69867986677878</c:v>
                </c:pt>
                <c:pt idx="199">
                  <c:v>567.61626446685284</c:v>
                </c:pt>
                <c:pt idx="200">
                  <c:v>578.31153579121099</c:v>
                </c:pt>
                <c:pt idx="201">
                  <c:v>583.2614916851893</c:v>
                </c:pt>
                <c:pt idx="202">
                  <c:v>602.75872284548927</c:v>
                </c:pt>
                <c:pt idx="203">
                  <c:v>586.94931582927939</c:v>
                </c:pt>
                <c:pt idx="204">
                  <c:v>576.83668070189833</c:v>
                </c:pt>
                <c:pt idx="205">
                  <c:v>586.43350683155654</c:v>
                </c:pt>
                <c:pt idx="206">
                  <c:v>589.21999823332419</c:v>
                </c:pt>
                <c:pt idx="207">
                  <c:v>586.13285438693845</c:v>
                </c:pt>
                <c:pt idx="208">
                  <c:v>584.79305080093593</c:v>
                </c:pt>
                <c:pt idx="209">
                  <c:v>598.33079970598897</c:v>
                </c:pt>
                <c:pt idx="210">
                  <c:v>588.22058251788235</c:v>
                </c:pt>
                <c:pt idx="211">
                  <c:v>571.50337828014722</c:v>
                </c:pt>
                <c:pt idx="212">
                  <c:v>567.24702652231088</c:v>
                </c:pt>
                <c:pt idx="213">
                  <c:v>559.49937967486062</c:v>
                </c:pt>
                <c:pt idx="214">
                  <c:v>573.62415473726276</c:v>
                </c:pt>
                <c:pt idx="215">
                  <c:v>567.90297627246787</c:v>
                </c:pt>
                <c:pt idx="216">
                  <c:v>570.21221858980107</c:v>
                </c:pt>
                <c:pt idx="217">
                  <c:v>566.48679220645045</c:v>
                </c:pt>
                <c:pt idx="218">
                  <c:v>590.28947244715175</c:v>
                </c:pt>
                <c:pt idx="219">
                  <c:v>600.62293805950264</c:v>
                </c:pt>
                <c:pt idx="220">
                  <c:v>582.47017798973604</c:v>
                </c:pt>
                <c:pt idx="221">
                  <c:v>570.18555312832405</c:v>
                </c:pt>
                <c:pt idx="222">
                  <c:v>563.53097285214687</c:v>
                </c:pt>
                <c:pt idx="223">
                  <c:v>543.60793723775168</c:v>
                </c:pt>
                <c:pt idx="224">
                  <c:v>564.72603537495434</c:v>
                </c:pt>
                <c:pt idx="225">
                  <c:v>553.90798472388235</c:v>
                </c:pt>
                <c:pt idx="226">
                  <c:v>543.76272598732828</c:v>
                </c:pt>
                <c:pt idx="227">
                  <c:v>549.65835365908083</c:v>
                </c:pt>
                <c:pt idx="228">
                  <c:v>569.98997881737296</c:v>
                </c:pt>
                <c:pt idx="229">
                  <c:v>598.30501059272706</c:v>
                </c:pt>
                <c:pt idx="230">
                  <c:v>596.36896890622552</c:v>
                </c:pt>
                <c:pt idx="231">
                  <c:v>588.63578030096176</c:v>
                </c:pt>
                <c:pt idx="232">
                  <c:v>577.64746618366667</c:v>
                </c:pt>
                <c:pt idx="233">
                  <c:v>563.68429559026788</c:v>
                </c:pt>
                <c:pt idx="234">
                  <c:v>553.02410914546294</c:v>
                </c:pt>
                <c:pt idx="235">
                  <c:v>542.6733233179084</c:v>
                </c:pt>
                <c:pt idx="236">
                  <c:v>508.18524505372756</c:v>
                </c:pt>
                <c:pt idx="237">
                  <c:v>520.51694341280938</c:v>
                </c:pt>
                <c:pt idx="238">
                  <c:v>521.11079928796039</c:v>
                </c:pt>
                <c:pt idx="239">
                  <c:v>508.77596838190209</c:v>
                </c:pt>
                <c:pt idx="240">
                  <c:v>514.73048478237058</c:v>
                </c:pt>
                <c:pt idx="241">
                  <c:v>497.17394210429933</c:v>
                </c:pt>
                <c:pt idx="242">
                  <c:v>480.96133797434419</c:v>
                </c:pt>
                <c:pt idx="243">
                  <c:v>478.2362308470727</c:v>
                </c:pt>
                <c:pt idx="244">
                  <c:v>469.88794956927217</c:v>
                </c:pt>
                <c:pt idx="245">
                  <c:v>439.22732647968962</c:v>
                </c:pt>
                <c:pt idx="246">
                  <c:v>433.70216498228257</c:v>
                </c:pt>
                <c:pt idx="247">
                  <c:v>428.2700463521287</c:v>
                </c:pt>
                <c:pt idx="248">
                  <c:v>430.03178057201643</c:v>
                </c:pt>
                <c:pt idx="249">
                  <c:v>421.6519386983432</c:v>
                </c:pt>
                <c:pt idx="250">
                  <c:v>402.06359501999106</c:v>
                </c:pt>
                <c:pt idx="251">
                  <c:v>395.13490000000002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59-2C48-9818-C283AA046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87327"/>
        <c:axId val="285491199"/>
      </c:lineChart>
      <c:catAx>
        <c:axId val="7478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91199"/>
        <c:crosses val="autoZero"/>
        <c:auto val="1"/>
        <c:lblAlgn val="ctr"/>
        <c:lblOffset val="100"/>
        <c:noMultiLvlLbl val="0"/>
      </c:catAx>
      <c:valAx>
        <c:axId val="28549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8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Lisa!$I$1:$I$3</c:f>
              <c:strCache>
                <c:ptCount val="3"/>
                <c:pt idx="2">
                  <c:v>Daily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Lisa!$B$4:$B$254</c:f>
              <c:strCache>
                <c:ptCount val="251"/>
                <c:pt idx="0">
                  <c:v>03/18/2026</c:v>
                </c:pt>
                <c:pt idx="1">
                  <c:v>03/17/2026</c:v>
                </c:pt>
                <c:pt idx="2">
                  <c:v>03/16/2026</c:v>
                </c:pt>
                <c:pt idx="3">
                  <c:v>03/13/2026</c:v>
                </c:pt>
                <c:pt idx="4">
                  <c:v>03/12/2026</c:v>
                </c:pt>
                <c:pt idx="5">
                  <c:v>03/11/2026</c:v>
                </c:pt>
                <c:pt idx="6">
                  <c:v>03/10/2026</c:v>
                </c:pt>
                <c:pt idx="7">
                  <c:v>03/09/2026</c:v>
                </c:pt>
                <c:pt idx="8">
                  <c:v>03/06/2026</c:v>
                </c:pt>
                <c:pt idx="9">
                  <c:v>03/05/2026</c:v>
                </c:pt>
                <c:pt idx="10">
                  <c:v>03/04/2026</c:v>
                </c:pt>
                <c:pt idx="11">
                  <c:v>03/03/2026</c:v>
                </c:pt>
                <c:pt idx="12">
                  <c:v>03/02/2026</c:v>
                </c:pt>
                <c:pt idx="13">
                  <c:v>02/27/2026</c:v>
                </c:pt>
                <c:pt idx="14">
                  <c:v>02/26/2026</c:v>
                </c:pt>
                <c:pt idx="15">
                  <c:v>02/25/2026</c:v>
                </c:pt>
                <c:pt idx="16">
                  <c:v>02/24/2026</c:v>
                </c:pt>
                <c:pt idx="17">
                  <c:v>02/23/2026</c:v>
                </c:pt>
                <c:pt idx="18">
                  <c:v>02/20/2026</c:v>
                </c:pt>
                <c:pt idx="19">
                  <c:v>02/19/2026</c:v>
                </c:pt>
                <c:pt idx="20">
                  <c:v>02/18/2026</c:v>
                </c:pt>
                <c:pt idx="21">
                  <c:v>02/17/2026</c:v>
                </c:pt>
                <c:pt idx="22">
                  <c:v>02/13/2026</c:v>
                </c:pt>
                <c:pt idx="23">
                  <c:v>02/12/2026</c:v>
                </c:pt>
                <c:pt idx="24">
                  <c:v>02/11/2026</c:v>
                </c:pt>
                <c:pt idx="25">
                  <c:v>02/10/2026</c:v>
                </c:pt>
                <c:pt idx="26">
                  <c:v>02/09/2026</c:v>
                </c:pt>
                <c:pt idx="27">
                  <c:v>02/06/2026</c:v>
                </c:pt>
                <c:pt idx="28">
                  <c:v>02/05/2026</c:v>
                </c:pt>
                <c:pt idx="29">
                  <c:v>02/04/2026</c:v>
                </c:pt>
                <c:pt idx="30">
                  <c:v>02/03/2026</c:v>
                </c:pt>
                <c:pt idx="31">
                  <c:v>02/02/2026</c:v>
                </c:pt>
                <c:pt idx="32">
                  <c:v>01/30/2026</c:v>
                </c:pt>
                <c:pt idx="33">
                  <c:v>01/29/2026</c:v>
                </c:pt>
                <c:pt idx="34">
                  <c:v>01/28/2026</c:v>
                </c:pt>
                <c:pt idx="35">
                  <c:v>01/27/2026</c:v>
                </c:pt>
                <c:pt idx="36">
                  <c:v>01/26/2026</c:v>
                </c:pt>
                <c:pt idx="37">
                  <c:v>01/23/2026</c:v>
                </c:pt>
                <c:pt idx="38">
                  <c:v>01/22/2026</c:v>
                </c:pt>
                <c:pt idx="39">
                  <c:v>01/21/2026</c:v>
                </c:pt>
                <c:pt idx="40">
                  <c:v>01/20/2026</c:v>
                </c:pt>
                <c:pt idx="41">
                  <c:v>01/16/2026</c:v>
                </c:pt>
                <c:pt idx="42">
                  <c:v>01/15/2026</c:v>
                </c:pt>
                <c:pt idx="43">
                  <c:v>01/14/2026</c:v>
                </c:pt>
                <c:pt idx="44">
                  <c:v>01/13/2026</c:v>
                </c:pt>
                <c:pt idx="45">
                  <c:v>01/12/2026</c:v>
                </c:pt>
                <c:pt idx="46">
                  <c:v>01/09/2026</c:v>
                </c:pt>
                <c:pt idx="47">
                  <c:v>01/08/2026</c:v>
                </c:pt>
                <c:pt idx="48">
                  <c:v>01/07/2026</c:v>
                </c:pt>
                <c:pt idx="49">
                  <c:v>01/06/2026</c:v>
                </c:pt>
                <c:pt idx="50">
                  <c:v>01/05/2026</c:v>
                </c:pt>
                <c:pt idx="51">
                  <c:v>01/02/2026</c:v>
                </c:pt>
                <c:pt idx="52">
                  <c:v>12/31/2025</c:v>
                </c:pt>
                <c:pt idx="53">
                  <c:v>12/30/2025</c:v>
                </c:pt>
                <c:pt idx="54">
                  <c:v>12/29/2025</c:v>
                </c:pt>
                <c:pt idx="55">
                  <c:v>12/26/2025</c:v>
                </c:pt>
                <c:pt idx="56">
                  <c:v>12/24/2025</c:v>
                </c:pt>
                <c:pt idx="57">
                  <c:v>12/23/2025</c:v>
                </c:pt>
                <c:pt idx="58">
                  <c:v>12/22/2025</c:v>
                </c:pt>
                <c:pt idx="59">
                  <c:v>12/19/2025</c:v>
                </c:pt>
                <c:pt idx="60">
                  <c:v>12/18/2025</c:v>
                </c:pt>
                <c:pt idx="61">
                  <c:v>12/17/2025</c:v>
                </c:pt>
                <c:pt idx="62">
                  <c:v>12/16/2025</c:v>
                </c:pt>
                <c:pt idx="63">
                  <c:v>12/15/2025</c:v>
                </c:pt>
                <c:pt idx="64">
                  <c:v>12/12/2025</c:v>
                </c:pt>
                <c:pt idx="65">
                  <c:v>12/11/2025</c:v>
                </c:pt>
                <c:pt idx="66">
                  <c:v>12/10/2025</c:v>
                </c:pt>
                <c:pt idx="67">
                  <c:v>12/09/2025</c:v>
                </c:pt>
                <c:pt idx="68">
                  <c:v>12/08/2025</c:v>
                </c:pt>
                <c:pt idx="69">
                  <c:v>12/05/2025</c:v>
                </c:pt>
                <c:pt idx="70">
                  <c:v>12/04/2025</c:v>
                </c:pt>
                <c:pt idx="71">
                  <c:v>12/03/2025</c:v>
                </c:pt>
                <c:pt idx="72">
                  <c:v>12/02/2025</c:v>
                </c:pt>
                <c:pt idx="73">
                  <c:v>12/01/2025</c:v>
                </c:pt>
                <c:pt idx="74">
                  <c:v>11/28/2025</c:v>
                </c:pt>
                <c:pt idx="75">
                  <c:v>11/26/2025</c:v>
                </c:pt>
                <c:pt idx="76">
                  <c:v>11/25/2025</c:v>
                </c:pt>
                <c:pt idx="77">
                  <c:v>11/24/2025</c:v>
                </c:pt>
                <c:pt idx="78">
                  <c:v>11/21/2025</c:v>
                </c:pt>
                <c:pt idx="79">
                  <c:v>11/20/2025</c:v>
                </c:pt>
                <c:pt idx="80">
                  <c:v>11/19/2025</c:v>
                </c:pt>
                <c:pt idx="81">
                  <c:v>11/18/2025</c:v>
                </c:pt>
                <c:pt idx="82">
                  <c:v>11/17/2025</c:v>
                </c:pt>
                <c:pt idx="83">
                  <c:v>11/14/2025</c:v>
                </c:pt>
                <c:pt idx="84">
                  <c:v>11/13/2025</c:v>
                </c:pt>
                <c:pt idx="85">
                  <c:v>11/12/2025</c:v>
                </c:pt>
                <c:pt idx="86">
                  <c:v>11/11/2025</c:v>
                </c:pt>
                <c:pt idx="87">
                  <c:v>11/10/2025</c:v>
                </c:pt>
                <c:pt idx="88">
                  <c:v>11/07/2025</c:v>
                </c:pt>
                <c:pt idx="89">
                  <c:v>11/06/2025</c:v>
                </c:pt>
                <c:pt idx="90">
                  <c:v>11/05/2025</c:v>
                </c:pt>
                <c:pt idx="91">
                  <c:v>11/04/2025</c:v>
                </c:pt>
                <c:pt idx="92">
                  <c:v>11/03/2025</c:v>
                </c:pt>
                <c:pt idx="93">
                  <c:v>10/31/2025</c:v>
                </c:pt>
                <c:pt idx="94">
                  <c:v>10/30/2025</c:v>
                </c:pt>
                <c:pt idx="95">
                  <c:v>10/29/2025</c:v>
                </c:pt>
                <c:pt idx="96">
                  <c:v>10/28/2025</c:v>
                </c:pt>
                <c:pt idx="97">
                  <c:v>10/27/2025</c:v>
                </c:pt>
                <c:pt idx="98">
                  <c:v>10/24/2025</c:v>
                </c:pt>
                <c:pt idx="99">
                  <c:v>10/23/2025</c:v>
                </c:pt>
                <c:pt idx="100">
                  <c:v>10/22/2025</c:v>
                </c:pt>
                <c:pt idx="101">
                  <c:v>10/21/2025</c:v>
                </c:pt>
                <c:pt idx="102">
                  <c:v>10/20/2025</c:v>
                </c:pt>
                <c:pt idx="103">
                  <c:v>10/17/2025</c:v>
                </c:pt>
                <c:pt idx="104">
                  <c:v>10/16/2025</c:v>
                </c:pt>
                <c:pt idx="105">
                  <c:v>10/15/2025</c:v>
                </c:pt>
                <c:pt idx="106">
                  <c:v>10/14/2025</c:v>
                </c:pt>
                <c:pt idx="107">
                  <c:v>10/13/2025</c:v>
                </c:pt>
                <c:pt idx="108">
                  <c:v>10/10/2025</c:v>
                </c:pt>
                <c:pt idx="109">
                  <c:v>10/09/2025</c:v>
                </c:pt>
                <c:pt idx="110">
                  <c:v>10/08/2025</c:v>
                </c:pt>
                <c:pt idx="111">
                  <c:v>10/07/2025</c:v>
                </c:pt>
                <c:pt idx="112">
                  <c:v>10/06/2025</c:v>
                </c:pt>
                <c:pt idx="113">
                  <c:v>10/03/2025</c:v>
                </c:pt>
                <c:pt idx="114">
                  <c:v>10/02/2025</c:v>
                </c:pt>
                <c:pt idx="115">
                  <c:v>10/01/2025</c:v>
                </c:pt>
                <c:pt idx="116">
                  <c:v>09/30/2025</c:v>
                </c:pt>
                <c:pt idx="117">
                  <c:v>09/29/2025</c:v>
                </c:pt>
                <c:pt idx="118">
                  <c:v>09/26/2025</c:v>
                </c:pt>
                <c:pt idx="119">
                  <c:v>09/25/2025</c:v>
                </c:pt>
                <c:pt idx="120">
                  <c:v>09/24/2025</c:v>
                </c:pt>
                <c:pt idx="121">
                  <c:v>09/23/2025</c:v>
                </c:pt>
                <c:pt idx="122">
                  <c:v>09/22/2025</c:v>
                </c:pt>
                <c:pt idx="123">
                  <c:v>09/19/2025</c:v>
                </c:pt>
                <c:pt idx="124">
                  <c:v>09/18/2025</c:v>
                </c:pt>
                <c:pt idx="125">
                  <c:v>09/17/2025</c:v>
                </c:pt>
                <c:pt idx="126">
                  <c:v>09/16/2025</c:v>
                </c:pt>
                <c:pt idx="127">
                  <c:v>09/15/2025</c:v>
                </c:pt>
                <c:pt idx="128">
                  <c:v>09/12/2025</c:v>
                </c:pt>
                <c:pt idx="129">
                  <c:v>09/11/2025</c:v>
                </c:pt>
                <c:pt idx="130">
                  <c:v>09/10/2025</c:v>
                </c:pt>
                <c:pt idx="131">
                  <c:v>09/09/2025</c:v>
                </c:pt>
                <c:pt idx="132">
                  <c:v>09/08/2025</c:v>
                </c:pt>
                <c:pt idx="133">
                  <c:v>09/05/2025</c:v>
                </c:pt>
                <c:pt idx="134">
                  <c:v>09/04/2025</c:v>
                </c:pt>
                <c:pt idx="135">
                  <c:v>09/03/2025</c:v>
                </c:pt>
                <c:pt idx="136">
                  <c:v>09/02/2025</c:v>
                </c:pt>
                <c:pt idx="137">
                  <c:v>08/29/2025</c:v>
                </c:pt>
                <c:pt idx="138">
                  <c:v>08/28/2025</c:v>
                </c:pt>
                <c:pt idx="139">
                  <c:v>08/27/2025</c:v>
                </c:pt>
                <c:pt idx="140">
                  <c:v>08/26/2025</c:v>
                </c:pt>
                <c:pt idx="141">
                  <c:v>08/25/2025</c:v>
                </c:pt>
                <c:pt idx="142">
                  <c:v>08/22/2025</c:v>
                </c:pt>
                <c:pt idx="143">
                  <c:v>08/21/2025</c:v>
                </c:pt>
                <c:pt idx="144">
                  <c:v>08/20/2025</c:v>
                </c:pt>
                <c:pt idx="145">
                  <c:v>08/19/2025</c:v>
                </c:pt>
                <c:pt idx="146">
                  <c:v>08/18/2025</c:v>
                </c:pt>
                <c:pt idx="147">
                  <c:v>08/15/2025</c:v>
                </c:pt>
                <c:pt idx="148">
                  <c:v>08/14/2025</c:v>
                </c:pt>
                <c:pt idx="149">
                  <c:v>08/13/2025</c:v>
                </c:pt>
                <c:pt idx="150">
                  <c:v>08/12/2025</c:v>
                </c:pt>
                <c:pt idx="151">
                  <c:v>08/11/2025</c:v>
                </c:pt>
                <c:pt idx="152">
                  <c:v>08/08/2025</c:v>
                </c:pt>
                <c:pt idx="153">
                  <c:v>08/07/2025</c:v>
                </c:pt>
                <c:pt idx="154">
                  <c:v>08/06/2025</c:v>
                </c:pt>
                <c:pt idx="155">
                  <c:v>08/05/2025</c:v>
                </c:pt>
                <c:pt idx="156">
                  <c:v>08/04/2025</c:v>
                </c:pt>
                <c:pt idx="157">
                  <c:v>08/01/2025</c:v>
                </c:pt>
                <c:pt idx="158">
                  <c:v>07/31/2025</c:v>
                </c:pt>
                <c:pt idx="159">
                  <c:v>07/30/2025</c:v>
                </c:pt>
                <c:pt idx="160">
                  <c:v>07/29/2025</c:v>
                </c:pt>
                <c:pt idx="161">
                  <c:v>07/28/2025</c:v>
                </c:pt>
                <c:pt idx="162">
                  <c:v>07/25/2025</c:v>
                </c:pt>
                <c:pt idx="163">
                  <c:v>07/24/2025</c:v>
                </c:pt>
                <c:pt idx="164">
                  <c:v>07/23/2025</c:v>
                </c:pt>
                <c:pt idx="165">
                  <c:v>07/22/2025</c:v>
                </c:pt>
                <c:pt idx="166">
                  <c:v>07/21/2025</c:v>
                </c:pt>
                <c:pt idx="167">
                  <c:v>07/18/2025</c:v>
                </c:pt>
                <c:pt idx="168">
                  <c:v>07/17/2025</c:v>
                </c:pt>
                <c:pt idx="169">
                  <c:v>07/16/2025</c:v>
                </c:pt>
                <c:pt idx="170">
                  <c:v>07/15/2025</c:v>
                </c:pt>
                <c:pt idx="171">
                  <c:v>07/14/2025</c:v>
                </c:pt>
                <c:pt idx="172">
                  <c:v>07/11/2025</c:v>
                </c:pt>
                <c:pt idx="173">
                  <c:v>07/10/2025</c:v>
                </c:pt>
                <c:pt idx="174">
                  <c:v>07/09/2025</c:v>
                </c:pt>
                <c:pt idx="175">
                  <c:v>07/08/2025</c:v>
                </c:pt>
                <c:pt idx="176">
                  <c:v>07/07/2025</c:v>
                </c:pt>
                <c:pt idx="177">
                  <c:v>07/03/2025</c:v>
                </c:pt>
                <c:pt idx="178">
                  <c:v>07/02/2025</c:v>
                </c:pt>
                <c:pt idx="179">
                  <c:v>07/01/2025</c:v>
                </c:pt>
                <c:pt idx="180">
                  <c:v>06/30/2025</c:v>
                </c:pt>
                <c:pt idx="181">
                  <c:v>06/27/2025</c:v>
                </c:pt>
                <c:pt idx="182">
                  <c:v>06/26/2025</c:v>
                </c:pt>
                <c:pt idx="183">
                  <c:v>06/25/2025</c:v>
                </c:pt>
                <c:pt idx="184">
                  <c:v>06/24/2025</c:v>
                </c:pt>
                <c:pt idx="185">
                  <c:v>06/23/2025</c:v>
                </c:pt>
                <c:pt idx="186">
                  <c:v>06/20/2025</c:v>
                </c:pt>
                <c:pt idx="187">
                  <c:v>06/18/2025</c:v>
                </c:pt>
                <c:pt idx="188">
                  <c:v>06/17/2025</c:v>
                </c:pt>
                <c:pt idx="189">
                  <c:v>06/16/2025</c:v>
                </c:pt>
                <c:pt idx="190">
                  <c:v>06/13/2025</c:v>
                </c:pt>
                <c:pt idx="191">
                  <c:v>06/12/2025</c:v>
                </c:pt>
                <c:pt idx="192">
                  <c:v>06/11/2025</c:v>
                </c:pt>
                <c:pt idx="193">
                  <c:v>06/10/2025</c:v>
                </c:pt>
                <c:pt idx="194">
                  <c:v>06/09/2025</c:v>
                </c:pt>
                <c:pt idx="195">
                  <c:v>06/06/2025</c:v>
                </c:pt>
                <c:pt idx="196">
                  <c:v>06/05/2025</c:v>
                </c:pt>
                <c:pt idx="197">
                  <c:v>06/04/2025</c:v>
                </c:pt>
                <c:pt idx="198">
                  <c:v>06/03/2025</c:v>
                </c:pt>
                <c:pt idx="199">
                  <c:v>06/02/2025</c:v>
                </c:pt>
                <c:pt idx="200">
                  <c:v>05/30/2025</c:v>
                </c:pt>
                <c:pt idx="201">
                  <c:v>05/29/2025</c:v>
                </c:pt>
                <c:pt idx="202">
                  <c:v>05/28/2025</c:v>
                </c:pt>
                <c:pt idx="203">
                  <c:v>05/27/2025</c:v>
                </c:pt>
                <c:pt idx="204">
                  <c:v>05/23/2025</c:v>
                </c:pt>
                <c:pt idx="205">
                  <c:v>05/22/2025</c:v>
                </c:pt>
                <c:pt idx="206">
                  <c:v>05/21/2025</c:v>
                </c:pt>
                <c:pt idx="207">
                  <c:v>05/20/2025</c:v>
                </c:pt>
                <c:pt idx="208">
                  <c:v>05/19/2025</c:v>
                </c:pt>
                <c:pt idx="209">
                  <c:v>05/16/2025</c:v>
                </c:pt>
                <c:pt idx="210">
                  <c:v>05/15/2025</c:v>
                </c:pt>
                <c:pt idx="211">
                  <c:v>05/14/2025</c:v>
                </c:pt>
                <c:pt idx="212">
                  <c:v>05/13/2025</c:v>
                </c:pt>
                <c:pt idx="213">
                  <c:v>05/12/2025</c:v>
                </c:pt>
                <c:pt idx="214">
                  <c:v>05/09/2025</c:v>
                </c:pt>
                <c:pt idx="215">
                  <c:v>05/08/2025</c:v>
                </c:pt>
                <c:pt idx="216">
                  <c:v>05/07/2025</c:v>
                </c:pt>
                <c:pt idx="217">
                  <c:v>05/06/2025</c:v>
                </c:pt>
                <c:pt idx="218">
                  <c:v>05/05/2025</c:v>
                </c:pt>
                <c:pt idx="219">
                  <c:v>05/02/2025</c:v>
                </c:pt>
                <c:pt idx="220">
                  <c:v>05/01/2025</c:v>
                </c:pt>
                <c:pt idx="221">
                  <c:v>04/30/2025</c:v>
                </c:pt>
                <c:pt idx="222">
                  <c:v>04/29/2025</c:v>
                </c:pt>
                <c:pt idx="223">
                  <c:v>04/28/2025</c:v>
                </c:pt>
                <c:pt idx="224">
                  <c:v>04/25/2025</c:v>
                </c:pt>
                <c:pt idx="225">
                  <c:v>04/24/2025</c:v>
                </c:pt>
                <c:pt idx="226">
                  <c:v>04/23/2025</c:v>
                </c:pt>
                <c:pt idx="227">
                  <c:v>04/22/2025</c:v>
                </c:pt>
                <c:pt idx="228">
                  <c:v>04/21/2025</c:v>
                </c:pt>
                <c:pt idx="229">
                  <c:v>04/17/2025</c:v>
                </c:pt>
                <c:pt idx="230">
                  <c:v>04/16/2025</c:v>
                </c:pt>
                <c:pt idx="231">
                  <c:v>04/15/2025</c:v>
                </c:pt>
                <c:pt idx="232">
                  <c:v>04/14/2025</c:v>
                </c:pt>
                <c:pt idx="233">
                  <c:v>04/11/2025</c:v>
                </c:pt>
                <c:pt idx="234">
                  <c:v>04/10/2025</c:v>
                </c:pt>
                <c:pt idx="235">
                  <c:v>04/09/2025</c:v>
                </c:pt>
                <c:pt idx="236">
                  <c:v>04/08/2025</c:v>
                </c:pt>
                <c:pt idx="237">
                  <c:v>04/07/2025</c:v>
                </c:pt>
                <c:pt idx="238">
                  <c:v>04/04/2025</c:v>
                </c:pt>
                <c:pt idx="239">
                  <c:v>04/03/2025</c:v>
                </c:pt>
                <c:pt idx="240">
                  <c:v>04/02/2025</c:v>
                </c:pt>
                <c:pt idx="241">
                  <c:v>04/01/2025</c:v>
                </c:pt>
                <c:pt idx="242">
                  <c:v>03/31/2025</c:v>
                </c:pt>
                <c:pt idx="243">
                  <c:v>03/28/2025</c:v>
                </c:pt>
                <c:pt idx="244">
                  <c:v>03/27/2025</c:v>
                </c:pt>
                <c:pt idx="245">
                  <c:v>03/26/2025</c:v>
                </c:pt>
                <c:pt idx="246">
                  <c:v>03/25/2025</c:v>
                </c:pt>
                <c:pt idx="247">
                  <c:v>03/24/2025</c:v>
                </c:pt>
                <c:pt idx="248">
                  <c:v>03/21/2025</c:v>
                </c:pt>
                <c:pt idx="249">
                  <c:v>03/20/2025</c:v>
                </c:pt>
                <c:pt idx="250">
                  <c:v>03/19/2025</c:v>
                </c:pt>
              </c:strCache>
            </c:strRef>
          </c:cat>
          <c:val>
            <c:numRef>
              <c:f>Lisa!$I$4:$I$254</c:f>
              <c:numCache>
                <c:formatCode>General</c:formatCode>
                <c:ptCount val="251"/>
                <c:pt idx="0">
                  <c:v>-2.5992415327174001E-2</c:v>
                </c:pt>
                <c:pt idx="1">
                  <c:v>-1.4321578166154758E-2</c:v>
                </c:pt>
                <c:pt idx="2">
                  <c:v>1.9540905450769586E-2</c:v>
                </c:pt>
                <c:pt idx="3">
                  <c:v>-6.6331394482261885E-2</c:v>
                </c:pt>
                <c:pt idx="4">
                  <c:v>4.1900027830216402E-2</c:v>
                </c:pt>
                <c:pt idx="5">
                  <c:v>-1.562926902990025E-2</c:v>
                </c:pt>
                <c:pt idx="6">
                  <c:v>-2.0224212462625957E-2</c:v>
                </c:pt>
                <c:pt idx="7">
                  <c:v>2.5838293011126723E-3</c:v>
                </c:pt>
                <c:pt idx="8">
                  <c:v>-4.564287017023716E-2</c:v>
                </c:pt>
                <c:pt idx="9">
                  <c:v>5.058052420686554E-2</c:v>
                </c:pt>
                <c:pt idx="10">
                  <c:v>-4.3901170187871763E-2</c:v>
                </c:pt>
                <c:pt idx="11">
                  <c:v>-9.2778053712825326E-3</c:v>
                </c:pt>
                <c:pt idx="12">
                  <c:v>-6.2018570203057344E-2</c:v>
                </c:pt>
                <c:pt idx="13">
                  <c:v>5.0590327123947176E-3</c:v>
                </c:pt>
                <c:pt idx="14">
                  <c:v>2.5252786364578839E-2</c:v>
                </c:pt>
                <c:pt idx="15">
                  <c:v>-1.1892591044809997E-2</c:v>
                </c:pt>
                <c:pt idx="16">
                  <c:v>-8.5302914255329654E-3</c:v>
                </c:pt>
                <c:pt idx="17">
                  <c:v>-8.1001214823990253E-3</c:v>
                </c:pt>
                <c:pt idx="18">
                  <c:v>1.8345237987332119E-2</c:v>
                </c:pt>
                <c:pt idx="19">
                  <c:v>-7.0772170190736006E-4</c:v>
                </c:pt>
                <c:pt idx="20">
                  <c:v>1.8543692356694841E-2</c:v>
                </c:pt>
                <c:pt idx="21">
                  <c:v>2.2707164612505437E-2</c:v>
                </c:pt>
                <c:pt idx="22">
                  <c:v>6.3645265160356068E-2</c:v>
                </c:pt>
                <c:pt idx="23">
                  <c:v>-0.12350210032064801</c:v>
                </c:pt>
                <c:pt idx="24">
                  <c:v>3.7885166305962059E-4</c:v>
                </c:pt>
                <c:pt idx="25">
                  <c:v>2.4791879669049166E-2</c:v>
                </c:pt>
                <c:pt idx="26">
                  <c:v>-2.2621241429123806E-2</c:v>
                </c:pt>
                <c:pt idx="27">
                  <c:v>0</c:v>
                </c:pt>
                <c:pt idx="28">
                  <c:v>1.2311766638266164E-2</c:v>
                </c:pt>
                <c:pt idx="29">
                  <c:v>4.4995578619040799E-2</c:v>
                </c:pt>
                <c:pt idx="30">
                  <c:v>-3.8545947844998096E-2</c:v>
                </c:pt>
                <c:pt idx="31">
                  <c:v>-3.6537531973834803E-4</c:v>
                </c:pt>
                <c:pt idx="32">
                  <c:v>-4.6177813045504834E-3</c:v>
                </c:pt>
                <c:pt idx="33">
                  <c:v>4.2635848492071915E-2</c:v>
                </c:pt>
                <c:pt idx="34">
                  <c:v>1.6978691358175979E-3</c:v>
                </c:pt>
                <c:pt idx="35">
                  <c:v>-4.0660994171073384E-2</c:v>
                </c:pt>
                <c:pt idx="36">
                  <c:v>1.0310165016749195E-3</c:v>
                </c:pt>
                <c:pt idx="37">
                  <c:v>-2.7470186387636986E-3</c:v>
                </c:pt>
                <c:pt idx="38">
                  <c:v>7.455930527419774E-3</c:v>
                </c:pt>
                <c:pt idx="39">
                  <c:v>3.2743872483056435E-3</c:v>
                </c:pt>
                <c:pt idx="40">
                  <c:v>3.7571538717176445E-2</c:v>
                </c:pt>
                <c:pt idx="41">
                  <c:v>-6.8635126170502048E-3</c:v>
                </c:pt>
                <c:pt idx="42">
                  <c:v>-1.5119892537393653E-2</c:v>
                </c:pt>
                <c:pt idx="43">
                  <c:v>1.4271394105332291E-2</c:v>
                </c:pt>
                <c:pt idx="44">
                  <c:v>-8.711166197506337E-3</c:v>
                </c:pt>
                <c:pt idx="45">
                  <c:v>5.012986564383759E-3</c:v>
                </c:pt>
                <c:pt idx="46">
                  <c:v>4.2936748494428301E-2</c:v>
                </c:pt>
                <c:pt idx="47">
                  <c:v>2.7149169659468342E-3</c:v>
                </c:pt>
                <c:pt idx="48">
                  <c:v>-7.3466992159847422E-3</c:v>
                </c:pt>
                <c:pt idx="49">
                  <c:v>4.5182999444305594E-2</c:v>
                </c:pt>
                <c:pt idx="50">
                  <c:v>-3.3478913546755251E-2</c:v>
                </c:pt>
                <c:pt idx="51">
                  <c:v>-3.6568001609213141E-2</c:v>
                </c:pt>
                <c:pt idx="52">
                  <c:v>1.8357861729145775E-2</c:v>
                </c:pt>
                <c:pt idx="53">
                  <c:v>1.5101111397159528E-2</c:v>
                </c:pt>
                <c:pt idx="54">
                  <c:v>3.9884043698386051E-3</c:v>
                </c:pt>
                <c:pt idx="55">
                  <c:v>-3.2259228074845936E-2</c:v>
                </c:pt>
                <c:pt idx="56">
                  <c:v>3.7862324898219057E-2</c:v>
                </c:pt>
                <c:pt idx="57">
                  <c:v>-5.3971737255622543E-3</c:v>
                </c:pt>
                <c:pt idx="58">
                  <c:v>-1.6561144545978124E-2</c:v>
                </c:pt>
                <c:pt idx="59">
                  <c:v>-9.9962412051173288E-3</c:v>
                </c:pt>
                <c:pt idx="60">
                  <c:v>-4.9582889845201095E-3</c:v>
                </c:pt>
                <c:pt idx="61">
                  <c:v>1.6648966544274835E-2</c:v>
                </c:pt>
                <c:pt idx="62">
                  <c:v>-2.664215545869375E-2</c:v>
                </c:pt>
                <c:pt idx="63">
                  <c:v>4.4790629370845991E-2</c:v>
                </c:pt>
                <c:pt idx="64">
                  <c:v>-8.6313441181662398E-3</c:v>
                </c:pt>
                <c:pt idx="65">
                  <c:v>-1.434750146318553E-2</c:v>
                </c:pt>
                <c:pt idx="66">
                  <c:v>3.178482089329826E-2</c:v>
                </c:pt>
                <c:pt idx="67">
                  <c:v>-8.7615977130468536E-3</c:v>
                </c:pt>
                <c:pt idx="68">
                  <c:v>-1.1479103415655167E-2</c:v>
                </c:pt>
                <c:pt idx="69">
                  <c:v>-3.0680632464439306E-2</c:v>
                </c:pt>
                <c:pt idx="70">
                  <c:v>9.7270430108036265E-3</c:v>
                </c:pt>
                <c:pt idx="71">
                  <c:v>-2.6956535458659836E-2</c:v>
                </c:pt>
                <c:pt idx="72">
                  <c:v>-8.8468179344669551E-4</c:v>
                </c:pt>
                <c:pt idx="73">
                  <c:v>1.1830773109716475E-2</c:v>
                </c:pt>
                <c:pt idx="74">
                  <c:v>4.4653726338650834E-2</c:v>
                </c:pt>
                <c:pt idx="75">
                  <c:v>1.8981440251349291E-2</c:v>
                </c:pt>
                <c:pt idx="76">
                  <c:v>1.9854723449546086E-3</c:v>
                </c:pt>
                <c:pt idx="77">
                  <c:v>1.4673767004031113E-2</c:v>
                </c:pt>
                <c:pt idx="78">
                  <c:v>-9.8175984239086134E-3</c:v>
                </c:pt>
                <c:pt idx="79">
                  <c:v>2.9740587846600164E-2</c:v>
                </c:pt>
                <c:pt idx="80">
                  <c:v>-5.78821969065757E-3</c:v>
                </c:pt>
                <c:pt idx="81">
                  <c:v>-3.48509372257233E-3</c:v>
                </c:pt>
                <c:pt idx="82">
                  <c:v>-6.4472236609018907E-3</c:v>
                </c:pt>
                <c:pt idx="83">
                  <c:v>-3.1155167779795434E-2</c:v>
                </c:pt>
                <c:pt idx="84">
                  <c:v>2.465854639384979E-2</c:v>
                </c:pt>
                <c:pt idx="85">
                  <c:v>1.0586588689553977E-3</c:v>
                </c:pt>
                <c:pt idx="86">
                  <c:v>-7.4292396313007103E-3</c:v>
                </c:pt>
                <c:pt idx="87">
                  <c:v>1.9706505798533058E-2</c:v>
                </c:pt>
                <c:pt idx="88">
                  <c:v>-5.6360483833159947E-3</c:v>
                </c:pt>
                <c:pt idx="89">
                  <c:v>-3.9224837646226973E-2</c:v>
                </c:pt>
                <c:pt idx="90">
                  <c:v>5.4799293056921883E-3</c:v>
                </c:pt>
                <c:pt idx="91">
                  <c:v>1.8384309757878192E-2</c:v>
                </c:pt>
                <c:pt idx="92">
                  <c:v>-3.4725550824093787E-2</c:v>
                </c:pt>
                <c:pt idx="93">
                  <c:v>-1.9548963143428466E-2</c:v>
                </c:pt>
                <c:pt idx="94">
                  <c:v>-8.3280459413348495E-4</c:v>
                </c:pt>
                <c:pt idx="95">
                  <c:v>2.096958941148408E-2</c:v>
                </c:pt>
                <c:pt idx="96">
                  <c:v>-1.0341205842767209E-2</c:v>
                </c:pt>
                <c:pt idx="97">
                  <c:v>9.8761356969667702E-4</c:v>
                </c:pt>
                <c:pt idx="98">
                  <c:v>-3.6598721590059391E-2</c:v>
                </c:pt>
                <c:pt idx="99">
                  <c:v>4.7752941969121387E-2</c:v>
                </c:pt>
                <c:pt idx="100">
                  <c:v>-6.9230865980589584E-2</c:v>
                </c:pt>
                <c:pt idx="101">
                  <c:v>2.3340534865281093E-2</c:v>
                </c:pt>
                <c:pt idx="102">
                  <c:v>1.3316251999526685E-2</c:v>
                </c:pt>
                <c:pt idx="103">
                  <c:v>-1.5478330635767534E-2</c:v>
                </c:pt>
                <c:pt idx="104">
                  <c:v>2.7015615040632213E-2</c:v>
                </c:pt>
                <c:pt idx="105">
                  <c:v>8.0184098190425601E-3</c:v>
                </c:pt>
                <c:pt idx="106">
                  <c:v>2.2006940374454942E-2</c:v>
                </c:pt>
                <c:pt idx="107">
                  <c:v>-2.4091969025656468E-2</c:v>
                </c:pt>
                <c:pt idx="108">
                  <c:v>6.5867630497296048E-3</c:v>
                </c:pt>
                <c:pt idx="109">
                  <c:v>-4.0785821392899102E-2</c:v>
                </c:pt>
                <c:pt idx="110">
                  <c:v>3.8465413416399308E-2</c:v>
                </c:pt>
                <c:pt idx="111">
                  <c:v>-1.2614338649933998E-2</c:v>
                </c:pt>
                <c:pt idx="112">
                  <c:v>1.0868897023574853E-2</c:v>
                </c:pt>
                <c:pt idx="113">
                  <c:v>-3.4696248823145481E-2</c:v>
                </c:pt>
                <c:pt idx="114">
                  <c:v>2.9797756642069295E-2</c:v>
                </c:pt>
                <c:pt idx="115">
                  <c:v>1.3656326447485156E-2</c:v>
                </c:pt>
                <c:pt idx="116">
                  <c:v>1.3958073357395406E-2</c:v>
                </c:pt>
                <c:pt idx="117">
                  <c:v>-1.696281385914844E-2</c:v>
                </c:pt>
                <c:pt idx="118">
                  <c:v>2.8868756509882409E-2</c:v>
                </c:pt>
                <c:pt idx="119">
                  <c:v>-1.4643897834677233E-2</c:v>
                </c:pt>
                <c:pt idx="120">
                  <c:v>-3.0682273572296914E-2</c:v>
                </c:pt>
                <c:pt idx="121">
                  <c:v>2.8927645472967889E-2</c:v>
                </c:pt>
                <c:pt idx="122">
                  <c:v>-4.7782126582076145E-2</c:v>
                </c:pt>
                <c:pt idx="123">
                  <c:v>1.9399477375748653E-2</c:v>
                </c:pt>
                <c:pt idx="124">
                  <c:v>1.4775248468490432E-3</c:v>
                </c:pt>
                <c:pt idx="125">
                  <c:v>-3.5837801502244915E-2</c:v>
                </c:pt>
                <c:pt idx="126">
                  <c:v>-2.8396419473576628E-2</c:v>
                </c:pt>
                <c:pt idx="127">
                  <c:v>5.3923591431143336E-2</c:v>
                </c:pt>
                <c:pt idx="128">
                  <c:v>-1.4080110992757966E-2</c:v>
                </c:pt>
                <c:pt idx="129">
                  <c:v>-3.8464824236452699E-3</c:v>
                </c:pt>
                <c:pt idx="130">
                  <c:v>-2.1843325428208438E-2</c:v>
                </c:pt>
                <c:pt idx="131">
                  <c:v>-1.0115784968325769E-2</c:v>
                </c:pt>
                <c:pt idx="132">
                  <c:v>-1.9776378165680342E-2</c:v>
                </c:pt>
                <c:pt idx="133">
                  <c:v>1.204197502732729E-2</c:v>
                </c:pt>
                <c:pt idx="134">
                  <c:v>-9.5188450092065224E-3</c:v>
                </c:pt>
                <c:pt idx="135">
                  <c:v>1.3138565771838806E-2</c:v>
                </c:pt>
                <c:pt idx="136">
                  <c:v>-9.7222103538623372E-3</c:v>
                </c:pt>
                <c:pt idx="137">
                  <c:v>-5.7294675838086562E-3</c:v>
                </c:pt>
                <c:pt idx="138">
                  <c:v>2.6710709622808082E-3</c:v>
                </c:pt>
                <c:pt idx="139">
                  <c:v>9.8497525446568091E-3</c:v>
                </c:pt>
                <c:pt idx="140">
                  <c:v>-7.2137602548298929E-3</c:v>
                </c:pt>
                <c:pt idx="141">
                  <c:v>1.6894032223291333E-4</c:v>
                </c:pt>
                <c:pt idx="142">
                  <c:v>-3.7521914213529683E-3</c:v>
                </c:pt>
                <c:pt idx="143">
                  <c:v>1.7146672533468355E-2</c:v>
                </c:pt>
                <c:pt idx="144">
                  <c:v>1.6009317303649517E-2</c:v>
                </c:pt>
                <c:pt idx="145">
                  <c:v>-1.166399399446405E-3</c:v>
                </c:pt>
                <c:pt idx="146">
                  <c:v>9.5861913069184013E-3</c:v>
                </c:pt>
                <c:pt idx="147">
                  <c:v>1.8338984353069243E-2</c:v>
                </c:pt>
                <c:pt idx="148">
                  <c:v>-1.9818396145868888E-2</c:v>
                </c:pt>
                <c:pt idx="149">
                  <c:v>1.7676112009587186E-2</c:v>
                </c:pt>
                <c:pt idx="150">
                  <c:v>2.7205799208132042E-2</c:v>
                </c:pt>
                <c:pt idx="151">
                  <c:v>-1.2361789912924692E-3</c:v>
                </c:pt>
                <c:pt idx="152">
                  <c:v>3.4881171363911889E-3</c:v>
                </c:pt>
                <c:pt idx="153">
                  <c:v>2.2098397496367106E-2</c:v>
                </c:pt>
                <c:pt idx="154">
                  <c:v>-3.5289913165648557E-2</c:v>
                </c:pt>
                <c:pt idx="155">
                  <c:v>1.7397069141090071E-2</c:v>
                </c:pt>
                <c:pt idx="156">
                  <c:v>-2.3874115064157486E-2</c:v>
                </c:pt>
                <c:pt idx="157">
                  <c:v>1.1296485595713612E-2</c:v>
                </c:pt>
                <c:pt idx="158">
                  <c:v>-1.7154627973134495E-2</c:v>
                </c:pt>
                <c:pt idx="159">
                  <c:v>1.2706834425142866E-2</c:v>
                </c:pt>
                <c:pt idx="160">
                  <c:v>1.6449220177099377E-2</c:v>
                </c:pt>
                <c:pt idx="161">
                  <c:v>4.8041481903737804E-3</c:v>
                </c:pt>
                <c:pt idx="162">
                  <c:v>-3.4207031922273146E-3</c:v>
                </c:pt>
                <c:pt idx="163">
                  <c:v>-1.0147134305462657E-3</c:v>
                </c:pt>
                <c:pt idx="164">
                  <c:v>3.0137985240822118E-2</c:v>
                </c:pt>
                <c:pt idx="165">
                  <c:v>-1.04468407810554E-3</c:v>
                </c:pt>
                <c:pt idx="166">
                  <c:v>-2.2084656270405567E-2</c:v>
                </c:pt>
                <c:pt idx="167">
                  <c:v>9.35163821289553E-3</c:v>
                </c:pt>
                <c:pt idx="168">
                  <c:v>1.9399709415698574E-2</c:v>
                </c:pt>
                <c:pt idx="169">
                  <c:v>-1.2411902540270248E-2</c:v>
                </c:pt>
                <c:pt idx="170">
                  <c:v>-1.0729626021423577E-2</c:v>
                </c:pt>
                <c:pt idx="171">
                  <c:v>-1.8501915385321865E-2</c:v>
                </c:pt>
                <c:pt idx="172">
                  <c:v>-4.1161732024503905E-3</c:v>
                </c:pt>
                <c:pt idx="173">
                  <c:v>5.5287194138564644E-3</c:v>
                </c:pt>
                <c:pt idx="174">
                  <c:v>-7.58046982016225E-3</c:v>
                </c:pt>
                <c:pt idx="175">
                  <c:v>2.0517504063057856E-3</c:v>
                </c:pt>
                <c:pt idx="176">
                  <c:v>1.8332234640811684E-2</c:v>
                </c:pt>
                <c:pt idx="177">
                  <c:v>-1.1921956279892676E-2</c:v>
                </c:pt>
                <c:pt idx="178">
                  <c:v>7.6729077770156806E-3</c:v>
                </c:pt>
                <c:pt idx="179">
                  <c:v>1.3479057395233696E-3</c:v>
                </c:pt>
                <c:pt idx="180">
                  <c:v>2.9134780352881862E-2</c:v>
                </c:pt>
                <c:pt idx="181">
                  <c:v>3.6447182846598203E-2</c:v>
                </c:pt>
                <c:pt idx="182">
                  <c:v>-1.8996833302829863E-2</c:v>
                </c:pt>
                <c:pt idx="183">
                  <c:v>-1.4104266115872122E-2</c:v>
                </c:pt>
                <c:pt idx="184">
                  <c:v>2.0315088004772441E-2</c:v>
                </c:pt>
                <c:pt idx="185">
                  <c:v>-3.9756193430810605E-2</c:v>
                </c:pt>
                <c:pt idx="186">
                  <c:v>-1.3989503037487694E-2</c:v>
                </c:pt>
                <c:pt idx="187">
                  <c:v>2.2051971567977446E-2</c:v>
                </c:pt>
                <c:pt idx="188">
                  <c:v>-9.2026963639995074E-3</c:v>
                </c:pt>
                <c:pt idx="189">
                  <c:v>-6.2318474262390566E-4</c:v>
                </c:pt>
                <c:pt idx="190">
                  <c:v>-3.3258275385176006E-2</c:v>
                </c:pt>
                <c:pt idx="191">
                  <c:v>2.9262301357802833E-2</c:v>
                </c:pt>
                <c:pt idx="192">
                  <c:v>-6.2601291232589062E-3</c:v>
                </c:pt>
                <c:pt idx="193">
                  <c:v>1.649063742397594E-2</c:v>
                </c:pt>
                <c:pt idx="194">
                  <c:v>-9.3897403498388599E-3</c:v>
                </c:pt>
                <c:pt idx="195">
                  <c:v>-1.6645504790329113E-2</c:v>
                </c:pt>
                <c:pt idx="196">
                  <c:v>-1.5088590613891562E-2</c:v>
                </c:pt>
                <c:pt idx="197">
                  <c:v>6.2458296084972886E-2</c:v>
                </c:pt>
                <c:pt idx="198">
                  <c:v>-5.114510848987841E-2</c:v>
                </c:pt>
                <c:pt idx="199">
                  <c:v>2.2760090162297963E-2</c:v>
                </c:pt>
                <c:pt idx="200">
                  <c:v>-1.3106161771201386E-3</c:v>
                </c:pt>
                <c:pt idx="201">
                  <c:v>5.2973755850277193E-2</c:v>
                </c:pt>
                <c:pt idx="202">
                  <c:v>-4.1544672906078439E-2</c:v>
                </c:pt>
                <c:pt idx="203">
                  <c:v>1.2860158864039128E-2</c:v>
                </c:pt>
                <c:pt idx="204">
                  <c:v>-1.6635364610771752E-2</c:v>
                </c:pt>
                <c:pt idx="205">
                  <c:v>-3.7174530428973007E-2</c:v>
                </c:pt>
                <c:pt idx="206">
                  <c:v>5.0460609612153817E-2</c:v>
                </c:pt>
                <c:pt idx="207">
                  <c:v>-2.3451534500213533E-2</c:v>
                </c:pt>
                <c:pt idx="208">
                  <c:v>-8.0045487593238818E-3</c:v>
                </c:pt>
                <c:pt idx="209">
                  <c:v>-3.119550542002969E-3</c:v>
                </c:pt>
                <c:pt idx="210">
                  <c:v>3.9113840482958295E-3</c:v>
                </c:pt>
                <c:pt idx="211">
                  <c:v>-2.7104332697869715E-2</c:v>
                </c:pt>
                <c:pt idx="212">
                  <c:v>-6.2921555908888038E-3</c:v>
                </c:pt>
                <c:pt idx="213">
                  <c:v>1.9380135913072749E-2</c:v>
                </c:pt>
                <c:pt idx="214">
                  <c:v>3.0946826806130368E-2</c:v>
                </c:pt>
                <c:pt idx="215">
                  <c:v>-1.1872980642118058E-2</c:v>
                </c:pt>
                <c:pt idx="216">
                  <c:v>-4.650682897421099E-3</c:v>
                </c:pt>
                <c:pt idx="217">
                  <c:v>-1.933897838189047E-2</c:v>
                </c:pt>
                <c:pt idx="218">
                  <c:v>-2.9058427300334699E-3</c:v>
                </c:pt>
                <c:pt idx="219">
                  <c:v>2.3141856230459723E-3</c:v>
                </c:pt>
                <c:pt idx="220">
                  <c:v>9.7005040272808429E-3</c:v>
                </c:pt>
                <c:pt idx="221">
                  <c:v>-4.1975997567016421E-3</c:v>
                </c:pt>
                <c:pt idx="222">
                  <c:v>3.9967393453908429E-2</c:v>
                </c:pt>
                <c:pt idx="223">
                  <c:v>-1.4911563576797349E-2</c:v>
                </c:pt>
                <c:pt idx="224">
                  <c:v>6.9892391219905647E-3</c:v>
                </c:pt>
                <c:pt idx="225">
                  <c:v>7.6911647412103434E-4</c:v>
                </c:pt>
                <c:pt idx="226">
                  <c:v>4.2229246527549336E-2</c:v>
                </c:pt>
                <c:pt idx="227">
                  <c:v>5.2455238104246682E-2</c:v>
                </c:pt>
                <c:pt idx="228">
                  <c:v>1.6593908398722768E-2</c:v>
                </c:pt>
                <c:pt idx="229">
                  <c:v>-5.6818334674311188E-3</c:v>
                </c:pt>
                <c:pt idx="230">
                  <c:v>-1.1578912027941257E-2</c:v>
                </c:pt>
                <c:pt idx="231">
                  <c:v>-5.352791959281511E-3</c:v>
                </c:pt>
                <c:pt idx="232">
                  <c:v>-3.7259757862670106E-2</c:v>
                </c:pt>
                <c:pt idx="233">
                  <c:v>2.8497485249118881E-2</c:v>
                </c:pt>
                <c:pt idx="234">
                  <c:v>-1.2291136584281048E-2</c:v>
                </c:pt>
                <c:pt idx="235">
                  <c:v>5.4125584365062984E-2</c:v>
                </c:pt>
                <c:pt idx="236">
                  <c:v>1.5408559124278298E-2</c:v>
                </c:pt>
                <c:pt idx="237">
                  <c:v>3.5254273801639258E-3</c:v>
                </c:pt>
                <c:pt idx="238">
                  <c:v>-4.6202116699622486E-2</c:v>
                </c:pt>
                <c:pt idx="239">
                  <c:v>1.5596763958765081E-2</c:v>
                </c:pt>
                <c:pt idx="240">
                  <c:v>-3.4456036929642053E-3</c:v>
                </c:pt>
                <c:pt idx="241">
                  <c:v>2.9632587292595325E-2</c:v>
                </c:pt>
                <c:pt idx="242">
                  <c:v>1.1369940786877031E-2</c:v>
                </c:pt>
                <c:pt idx="243">
                  <c:v>3.1509033535215281E-3</c:v>
                </c:pt>
                <c:pt idx="244">
                  <c:v>-6.2499126274477845E-3</c:v>
                </c:pt>
                <c:pt idx="245">
                  <c:v>-5.0137683413558953E-2</c:v>
                </c:pt>
                <c:pt idx="246">
                  <c:v>2.9074661095740417E-2</c:v>
                </c:pt>
                <c:pt idx="247">
                  <c:v>-3.5337141194272448E-2</c:v>
                </c:pt>
                <c:pt idx="248">
                  <c:v>-1.6742246981777065E-2</c:v>
                </c:pt>
                <c:pt idx="249">
                  <c:v>-1.5827370770100657E-3</c:v>
                </c:pt>
                <c:pt idx="2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E-8943-862D-B3333355C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280960"/>
        <c:axId val="97085056"/>
      </c:lineChart>
      <c:catAx>
        <c:axId val="10628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85056"/>
        <c:crosses val="autoZero"/>
        <c:auto val="1"/>
        <c:lblAlgn val="ctr"/>
        <c:lblOffset val="100"/>
        <c:noMultiLvlLbl val="0"/>
      </c:catAx>
      <c:valAx>
        <c:axId val="9708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28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6350</xdr:colOff>
      <xdr:row>7</xdr:row>
      <xdr:rowOff>0</xdr:rowOff>
    </xdr:from>
    <xdr:to>
      <xdr:col>27</xdr:col>
      <xdr:colOff>292100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7D2E76-6946-4033-0735-AEA25E1F4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831850</xdr:colOff>
      <xdr:row>21</xdr:row>
      <xdr:rowOff>241300</xdr:rowOff>
    </xdr:from>
    <xdr:to>
      <xdr:col>27</xdr:col>
      <xdr:colOff>254000</xdr:colOff>
      <xdr:row>38</xdr:row>
      <xdr:rowOff>215900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16C153-FB77-1CB1-6D1A-617AFEE7C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716990</xdr:colOff>
      <xdr:row>7</xdr:row>
      <xdr:rowOff>182143</xdr:rowOff>
    </xdr:from>
    <xdr:to>
      <xdr:col>20</xdr:col>
      <xdr:colOff>786726</xdr:colOff>
      <xdr:row>18</xdr:row>
      <xdr:rowOff>56195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56FB24-8FD1-93EB-9982-DB51DFC03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173181</xdr:colOff>
      <xdr:row>130</xdr:row>
      <xdr:rowOff>106219</xdr:rowOff>
    </xdr:from>
    <xdr:to>
      <xdr:col>22</xdr:col>
      <xdr:colOff>531091</xdr:colOff>
      <xdr:row>140</xdr:row>
      <xdr:rowOff>78509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41B634-7532-3F88-049D-876D59D85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438726</xdr:colOff>
      <xdr:row>118</xdr:row>
      <xdr:rowOff>163945</xdr:rowOff>
    </xdr:from>
    <xdr:to>
      <xdr:col>20</xdr:col>
      <xdr:colOff>681181</xdr:colOff>
      <xdr:row>128</xdr:row>
      <xdr:rowOff>136236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D86C08A-5591-36E4-CA79-517CD2874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704850</xdr:colOff>
      <xdr:row>19</xdr:row>
      <xdr:rowOff>69850</xdr:rowOff>
    </xdr:from>
    <xdr:to>
      <xdr:col>21</xdr:col>
      <xdr:colOff>393700</xdr:colOff>
      <xdr:row>33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F74857-4928-233B-6B29-FE99F0800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285750</xdr:colOff>
      <xdr:row>6</xdr:row>
      <xdr:rowOff>254000</xdr:rowOff>
    </xdr:from>
    <xdr:to>
      <xdr:col>19</xdr:col>
      <xdr:colOff>520700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97D7E4-A99C-783A-4ED9-DC393A994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285750</xdr:colOff>
      <xdr:row>17</xdr:row>
      <xdr:rowOff>165100</xdr:rowOff>
    </xdr:from>
    <xdr:to>
      <xdr:col>19</xdr:col>
      <xdr:colOff>571500</xdr:colOff>
      <xdr:row>30</xdr:row>
      <xdr:rowOff>254000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822725-5F2E-02B2-ADD3-29576F621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8DBC-4EDD-8A49-A78C-83F4988E636F}">
  <dimension ref="A1:P254"/>
  <sheetViews>
    <sheetView topLeftCell="I1" workbookViewId="0">
      <selection activeCell="I1" sqref="I1:I1048576"/>
    </sheetView>
  </sheetViews>
  <sheetFormatPr baseColWidth="10" defaultColWidth="11" defaultRowHeight="16" x14ac:dyDescent="0.2"/>
  <cols>
    <col min="6" max="6" width="16.33203125" bestFit="1" customWidth="1"/>
    <col min="9" max="9" width="17" customWidth="1"/>
    <col min="10" max="10" width="0.1640625" customWidth="1"/>
    <col min="13" max="13" width="12.1640625" bestFit="1" customWidth="1"/>
    <col min="20" max="20" width="16.33203125" bestFit="1" customWidth="1"/>
  </cols>
  <sheetData>
    <row r="1" spans="1:16" x14ac:dyDescent="0.2">
      <c r="A1" t="s">
        <v>0</v>
      </c>
      <c r="L1" s="22"/>
    </row>
    <row r="2" spans="1:16" x14ac:dyDescent="0.2">
      <c r="L2" s="22"/>
      <c r="O2" s="14"/>
      <c r="P2" s="14" t="s">
        <v>1</v>
      </c>
    </row>
    <row r="3" spans="1:16" ht="22" x14ac:dyDescent="0.3">
      <c r="A3" s="21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I3" s="2" t="s">
        <v>9</v>
      </c>
      <c r="K3" s="2"/>
      <c r="L3" s="23" t="s">
        <v>10</v>
      </c>
      <c r="N3" s="18" t="s">
        <v>11</v>
      </c>
      <c r="O3" s="1" t="s">
        <v>12</v>
      </c>
      <c r="P3" s="17">
        <f>AVERAGE(I4:I254)</f>
        <v>-8.86760907408932E-3</v>
      </c>
    </row>
    <row r="4" spans="1:16" ht="20" x14ac:dyDescent="0.2">
      <c r="A4" s="21">
        <v>251</v>
      </c>
      <c r="B4" s="4" t="s">
        <v>13</v>
      </c>
      <c r="C4" s="5">
        <v>0.68569999999999998</v>
      </c>
      <c r="D4" s="5">
        <v>411346</v>
      </c>
      <c r="E4" s="5" t="s">
        <v>14</v>
      </c>
      <c r="F4" s="5" t="s">
        <v>15</v>
      </c>
      <c r="G4" s="5" t="s">
        <v>16</v>
      </c>
      <c r="I4">
        <f>LN(C4)-LN(C5)</f>
        <v>6.8659586754556023E-2</v>
      </c>
      <c r="L4" s="22">
        <v>1.72265834</v>
      </c>
      <c r="N4">
        <f t="shared" ref="N4:N68" si="0">N5*EXP((($P$3-$P$4/2)+$P$5*L4))</f>
        <v>0.46209544838999672</v>
      </c>
      <c r="O4" s="1" t="s">
        <v>17</v>
      </c>
      <c r="P4" s="20">
        <f>_xlfn.VAR.S(I4:I254)</f>
        <v>2.6125958596861322E-2</v>
      </c>
    </row>
    <row r="5" spans="1:16" ht="20" x14ac:dyDescent="0.2">
      <c r="A5" s="21">
        <v>250</v>
      </c>
      <c r="B5" s="4" t="s">
        <v>18</v>
      </c>
      <c r="C5" s="5">
        <v>0.64019999999999999</v>
      </c>
      <c r="D5" s="5">
        <v>162959</v>
      </c>
      <c r="E5" s="5" t="s">
        <v>19</v>
      </c>
      <c r="F5" s="5" t="s">
        <v>20</v>
      </c>
      <c r="G5" s="5" t="s">
        <v>21</v>
      </c>
      <c r="I5">
        <f t="shared" ref="I5:I68" si="1">LN(C5)-LN(C6)</f>
        <v>2.9162129911109225E-2</v>
      </c>
      <c r="L5" s="22">
        <v>-1.125014</v>
      </c>
      <c r="N5">
        <f>N6*EXP((($P$3-$P$4/2)+$P$5*L5))</f>
        <v>0.3575444609313963</v>
      </c>
      <c r="O5" s="1" t="s">
        <v>22</v>
      </c>
      <c r="P5" s="20">
        <f>SQRT(P4)</f>
        <v>0.16163526408819742</v>
      </c>
    </row>
    <row r="6" spans="1:16" ht="20" x14ac:dyDescent="0.2">
      <c r="A6" s="21">
        <v>249</v>
      </c>
      <c r="B6" s="4" t="s">
        <v>23</v>
      </c>
      <c r="C6" s="5">
        <v>0.62180000000000002</v>
      </c>
      <c r="D6" s="5">
        <v>191520</v>
      </c>
      <c r="E6" s="5" t="s">
        <v>24</v>
      </c>
      <c r="F6" s="5" t="s">
        <v>25</v>
      </c>
      <c r="G6" s="5" t="s">
        <v>26</v>
      </c>
      <c r="I6">
        <f t="shared" si="1"/>
        <v>1.0346034736712084E-2</v>
      </c>
      <c r="L6" s="22">
        <v>-0.79097850000000003</v>
      </c>
      <c r="N6">
        <f t="shared" si="0"/>
        <v>0.43835638504108887</v>
      </c>
    </row>
    <row r="7" spans="1:16" ht="20" x14ac:dyDescent="0.2">
      <c r="A7" s="21">
        <v>248</v>
      </c>
      <c r="B7" s="4" t="s">
        <v>27</v>
      </c>
      <c r="C7" s="5">
        <v>0.61539999999999995</v>
      </c>
      <c r="D7" s="5">
        <v>140412</v>
      </c>
      <c r="E7" s="5" t="s">
        <v>26</v>
      </c>
      <c r="F7" s="5" t="s">
        <v>28</v>
      </c>
      <c r="G7" s="5" t="s">
        <v>26</v>
      </c>
      <c r="I7">
        <f t="shared" si="1"/>
        <v>-1.8993006148256719E-2</v>
      </c>
      <c r="L7" s="22">
        <v>-0.1088065</v>
      </c>
      <c r="M7" s="16"/>
      <c r="N7">
        <f t="shared" si="0"/>
        <v>0.50918573467320416</v>
      </c>
    </row>
    <row r="8" spans="1:16" ht="20" x14ac:dyDescent="0.2">
      <c r="A8" s="21">
        <v>247</v>
      </c>
      <c r="B8" s="6">
        <v>46359</v>
      </c>
      <c r="C8" s="5">
        <v>0.62719999999999998</v>
      </c>
      <c r="D8" s="5">
        <v>67202</v>
      </c>
      <c r="E8" s="5" t="s">
        <v>29</v>
      </c>
      <c r="F8" s="5" t="s">
        <v>30</v>
      </c>
      <c r="G8" s="5" t="s">
        <v>31</v>
      </c>
      <c r="I8">
        <f t="shared" si="1"/>
        <v>4.150648680989194E-2</v>
      </c>
      <c r="L8" s="22">
        <v>0.54056174999999995</v>
      </c>
      <c r="M8" s="24"/>
      <c r="N8">
        <f t="shared" si="0"/>
        <v>0.52971038132149606</v>
      </c>
    </row>
    <row r="9" spans="1:16" ht="20" x14ac:dyDescent="0.2">
      <c r="A9" s="21">
        <v>246</v>
      </c>
      <c r="B9" s="6">
        <v>46329</v>
      </c>
      <c r="C9" s="5">
        <v>0.60170000000000001</v>
      </c>
      <c r="D9" s="5">
        <v>501583</v>
      </c>
      <c r="E9" s="5" t="s">
        <v>32</v>
      </c>
      <c r="F9" s="5" t="s">
        <v>33</v>
      </c>
      <c r="G9" s="5" t="s">
        <v>34</v>
      </c>
      <c r="I9">
        <f t="shared" si="1"/>
        <v>-0.10527741431569171</v>
      </c>
      <c r="L9" s="22">
        <v>0.8153878</v>
      </c>
      <c r="M9" s="25"/>
      <c r="N9">
        <f t="shared" si="0"/>
        <v>0.49615439275591372</v>
      </c>
      <c r="O9" s="25"/>
    </row>
    <row r="10" spans="1:16" ht="20" x14ac:dyDescent="0.2">
      <c r="A10" s="21">
        <v>245</v>
      </c>
      <c r="B10" s="6">
        <v>46298</v>
      </c>
      <c r="C10" s="5">
        <v>0.66849999999999998</v>
      </c>
      <c r="D10" s="5">
        <v>90264</v>
      </c>
      <c r="E10" s="5" t="s">
        <v>35</v>
      </c>
      <c r="F10" s="5" t="s">
        <v>36</v>
      </c>
      <c r="G10" s="5" t="s">
        <v>35</v>
      </c>
      <c r="I10">
        <f t="shared" si="1"/>
        <v>2.1929045084799093E-2</v>
      </c>
      <c r="L10" s="22">
        <v>-0.25502399999999997</v>
      </c>
      <c r="M10" s="25"/>
      <c r="N10">
        <f t="shared" si="0"/>
        <v>0.44453212296985051</v>
      </c>
    </row>
    <row r="11" spans="1:16" ht="20" x14ac:dyDescent="0.2">
      <c r="A11" s="21">
        <v>244</v>
      </c>
      <c r="B11" s="6">
        <v>46268</v>
      </c>
      <c r="C11" s="5">
        <v>0.65400000000000003</v>
      </c>
      <c r="D11" s="5">
        <v>65974</v>
      </c>
      <c r="E11" s="5" t="s">
        <v>24</v>
      </c>
      <c r="F11" s="5" t="s">
        <v>37</v>
      </c>
      <c r="G11" s="5" t="s">
        <v>38</v>
      </c>
      <c r="I11">
        <f t="shared" si="1"/>
        <v>3.7228814509188968E-2</v>
      </c>
      <c r="L11" s="22">
        <v>0.25166400999999999</v>
      </c>
      <c r="N11">
        <f t="shared" si="0"/>
        <v>0.47351035429240318</v>
      </c>
    </row>
    <row r="12" spans="1:16" ht="20" x14ac:dyDescent="0.2">
      <c r="A12" s="21">
        <v>243</v>
      </c>
      <c r="B12" s="6">
        <v>46176</v>
      </c>
      <c r="C12" s="5">
        <v>0.63009999999999999</v>
      </c>
      <c r="D12" s="5">
        <v>287516</v>
      </c>
      <c r="E12" s="5" t="s">
        <v>39</v>
      </c>
      <c r="F12" s="5" t="s">
        <v>40</v>
      </c>
      <c r="G12" s="5" t="s">
        <v>41</v>
      </c>
      <c r="I12">
        <f t="shared" si="1"/>
        <v>2.8003117216400863E-2</v>
      </c>
      <c r="L12" s="22">
        <v>0.33741367</v>
      </c>
      <c r="N12">
        <f t="shared" si="0"/>
        <v>0.46471605729656984</v>
      </c>
    </row>
    <row r="13" spans="1:16" ht="20" x14ac:dyDescent="0.2">
      <c r="A13" s="21">
        <v>242</v>
      </c>
      <c r="B13" s="6">
        <v>46145</v>
      </c>
      <c r="C13" s="5">
        <v>0.61270000000000002</v>
      </c>
      <c r="D13" s="5">
        <v>348316</v>
      </c>
      <c r="E13" s="5" t="s">
        <v>42</v>
      </c>
      <c r="F13" s="5" t="s">
        <v>43</v>
      </c>
      <c r="G13" s="5" t="s">
        <v>44</v>
      </c>
      <c r="I13">
        <f t="shared" si="1"/>
        <v>-1.1844058307528327E-2</v>
      </c>
      <c r="L13" s="22">
        <v>0.17472554000000001</v>
      </c>
      <c r="N13">
        <f t="shared" si="0"/>
        <v>0.449807282679625</v>
      </c>
    </row>
    <row r="14" spans="1:16" ht="20" x14ac:dyDescent="0.2">
      <c r="A14" s="21">
        <v>241</v>
      </c>
      <c r="B14" s="6">
        <v>46115</v>
      </c>
      <c r="C14" s="5">
        <v>0.62</v>
      </c>
      <c r="D14" s="5">
        <v>44852</v>
      </c>
      <c r="E14" s="5" t="s">
        <v>28</v>
      </c>
      <c r="F14" s="5" t="s">
        <v>28</v>
      </c>
      <c r="G14" s="5" t="s">
        <v>45</v>
      </c>
      <c r="I14">
        <f t="shared" si="1"/>
        <v>1.1028331041478268E-2</v>
      </c>
      <c r="L14" s="22">
        <v>0.1866602</v>
      </c>
      <c r="N14">
        <f t="shared" si="0"/>
        <v>0.44697738920236268</v>
      </c>
    </row>
    <row r="15" spans="1:16" ht="20" x14ac:dyDescent="0.2">
      <c r="A15" s="21">
        <v>240</v>
      </c>
      <c r="B15" s="6">
        <v>46084</v>
      </c>
      <c r="C15" s="5">
        <v>0.61319999999999997</v>
      </c>
      <c r="D15" s="5">
        <v>38357</v>
      </c>
      <c r="E15" s="5" t="s">
        <v>46</v>
      </c>
      <c r="F15" s="5" t="s">
        <v>47</v>
      </c>
      <c r="G15" s="5" t="s">
        <v>48</v>
      </c>
      <c r="I15">
        <f t="shared" si="1"/>
        <v>2.7761918704318767E-3</v>
      </c>
      <c r="L15" s="22">
        <v>-0.18922990000000001</v>
      </c>
      <c r="N15">
        <f t="shared" si="0"/>
        <v>0.44330930310011207</v>
      </c>
    </row>
    <row r="16" spans="1:16" ht="20" x14ac:dyDescent="0.2">
      <c r="A16" s="21">
        <v>239</v>
      </c>
      <c r="B16" s="6">
        <v>46056</v>
      </c>
      <c r="C16" s="5">
        <v>0.61150000000000004</v>
      </c>
      <c r="D16" s="5">
        <v>162526</v>
      </c>
      <c r="E16" s="5" t="s">
        <v>49</v>
      </c>
      <c r="F16" s="5" t="s">
        <v>50</v>
      </c>
      <c r="G16" s="5" t="s">
        <v>51</v>
      </c>
      <c r="I16">
        <f t="shared" si="1"/>
        <v>-5.9517761576862893E-2</v>
      </c>
      <c r="L16" s="22">
        <v>0.32255840000000002</v>
      </c>
      <c r="N16">
        <f t="shared" si="0"/>
        <v>0.46721266561955116</v>
      </c>
    </row>
    <row r="17" spans="1:14" ht="20" x14ac:dyDescent="0.2">
      <c r="A17" s="21">
        <v>238</v>
      </c>
      <c r="B17" s="4" t="s">
        <v>52</v>
      </c>
      <c r="C17" s="5">
        <v>0.64900000000000002</v>
      </c>
      <c r="D17" s="5">
        <v>110301</v>
      </c>
      <c r="E17" s="5" t="s">
        <v>53</v>
      </c>
      <c r="F17" s="5" t="s">
        <v>42</v>
      </c>
      <c r="G17" s="5" t="s">
        <v>53</v>
      </c>
      <c r="I17">
        <f t="shared" si="1"/>
        <v>2.6228511526255049E-3</v>
      </c>
      <c r="L17" s="22">
        <v>0.15092294000000001</v>
      </c>
      <c r="N17">
        <f t="shared" si="0"/>
        <v>0.45331095142298727</v>
      </c>
    </row>
    <row r="18" spans="1:14" ht="20" x14ac:dyDescent="0.2">
      <c r="A18" s="21">
        <v>237</v>
      </c>
      <c r="B18" s="4" t="s">
        <v>54</v>
      </c>
      <c r="C18" s="5">
        <v>0.64729999999999999</v>
      </c>
      <c r="D18" s="5">
        <v>69008</v>
      </c>
      <c r="E18" s="5" t="s">
        <v>55</v>
      </c>
      <c r="F18" s="5" t="s">
        <v>56</v>
      </c>
      <c r="G18" s="5" t="s">
        <v>57</v>
      </c>
      <c r="I18">
        <f t="shared" si="1"/>
        <v>-5.7630348738854198E-2</v>
      </c>
      <c r="L18" s="22">
        <v>-0.1194331</v>
      </c>
      <c r="N18">
        <f t="shared" si="0"/>
        <v>0.45219542206201374</v>
      </c>
    </row>
    <row r="19" spans="1:14" ht="20" x14ac:dyDescent="0.2">
      <c r="A19" s="21">
        <v>236</v>
      </c>
      <c r="B19" s="4" t="s">
        <v>58</v>
      </c>
      <c r="C19" s="5">
        <v>0.68569999999999998</v>
      </c>
      <c r="D19" s="5">
        <v>133498</v>
      </c>
      <c r="E19" s="5" t="s">
        <v>59</v>
      </c>
      <c r="F19" s="5" t="s">
        <v>60</v>
      </c>
      <c r="G19" s="5" t="s">
        <v>61</v>
      </c>
      <c r="I19">
        <f t="shared" si="1"/>
        <v>7.2944784035378074E-4</v>
      </c>
      <c r="L19" s="22">
        <v>-0.24006739999999999</v>
      </c>
      <c r="N19">
        <f t="shared" si="0"/>
        <v>0.47123156805782263</v>
      </c>
    </row>
    <row r="20" spans="1:14" ht="20" x14ac:dyDescent="0.2">
      <c r="A20" s="21">
        <v>235</v>
      </c>
      <c r="B20" s="4" t="s">
        <v>62</v>
      </c>
      <c r="C20" s="5">
        <v>0.68520000000000003</v>
      </c>
      <c r="D20" s="5">
        <v>116834</v>
      </c>
      <c r="E20" s="5" t="s">
        <v>63</v>
      </c>
      <c r="F20" s="5" t="s">
        <v>63</v>
      </c>
      <c r="G20" s="5" t="s">
        <v>64</v>
      </c>
      <c r="I20">
        <f t="shared" si="1"/>
        <v>-5.783924837483112E-2</v>
      </c>
      <c r="L20" s="22">
        <v>1.27633168</v>
      </c>
      <c r="N20">
        <f t="shared" si="0"/>
        <v>0.50073828085814731</v>
      </c>
    </row>
    <row r="21" spans="1:14" ht="20" x14ac:dyDescent="0.2">
      <c r="A21" s="21">
        <v>234</v>
      </c>
      <c r="B21" s="4" t="s">
        <v>65</v>
      </c>
      <c r="C21" s="5">
        <v>0.72599999999999998</v>
      </c>
      <c r="D21" s="5">
        <v>309455</v>
      </c>
      <c r="E21" s="5" t="s">
        <v>66</v>
      </c>
      <c r="F21" s="5" t="s">
        <v>67</v>
      </c>
      <c r="G21" s="5" t="s">
        <v>68</v>
      </c>
      <c r="I21">
        <f t="shared" si="1"/>
        <v>-2.9050502226587449E-2</v>
      </c>
      <c r="L21" s="22">
        <v>2.2127615999999999</v>
      </c>
      <c r="N21">
        <f t="shared" si="0"/>
        <v>0.41642815565626579</v>
      </c>
    </row>
    <row r="22" spans="1:14" ht="20" x14ac:dyDescent="0.2">
      <c r="A22" s="21">
        <v>233</v>
      </c>
      <c r="B22" s="4" t="s">
        <v>69</v>
      </c>
      <c r="C22" s="5">
        <v>0.74739999999999995</v>
      </c>
      <c r="D22" s="5">
        <v>252893</v>
      </c>
      <c r="E22" s="5" t="s">
        <v>70</v>
      </c>
      <c r="F22" s="5" t="s">
        <v>71</v>
      </c>
      <c r="G22" s="5" t="s">
        <v>72</v>
      </c>
      <c r="I22">
        <f t="shared" si="1"/>
        <v>-2.6016653913867149E-2</v>
      </c>
      <c r="L22" s="22">
        <v>-4.9846000000000001E-2</v>
      </c>
      <c r="N22">
        <f t="shared" si="0"/>
        <v>0.29766962605022579</v>
      </c>
    </row>
    <row r="23" spans="1:14" ht="20" x14ac:dyDescent="0.2">
      <c r="A23" s="21">
        <v>232</v>
      </c>
      <c r="B23" s="4" t="s">
        <v>73</v>
      </c>
      <c r="C23" s="5">
        <v>0.7671</v>
      </c>
      <c r="D23" s="5">
        <v>217604</v>
      </c>
      <c r="E23" s="5" t="s">
        <v>74</v>
      </c>
      <c r="F23" s="5" t="s">
        <v>74</v>
      </c>
      <c r="G23" s="5" t="s">
        <v>75</v>
      </c>
      <c r="I23">
        <f t="shared" si="1"/>
        <v>-3.143904276315998E-2</v>
      </c>
      <c r="L23" s="22">
        <v>-0.3723706</v>
      </c>
      <c r="N23">
        <f t="shared" si="0"/>
        <v>0.30673116927289246</v>
      </c>
    </row>
    <row r="24" spans="1:14" ht="20" x14ac:dyDescent="0.2">
      <c r="A24" s="21">
        <v>231</v>
      </c>
      <c r="B24" s="4" t="s">
        <v>76</v>
      </c>
      <c r="C24" s="5">
        <v>0.79159999999999997</v>
      </c>
      <c r="D24" s="5">
        <v>242701</v>
      </c>
      <c r="E24" s="5" t="s">
        <v>77</v>
      </c>
      <c r="F24" s="5" t="s">
        <v>78</v>
      </c>
      <c r="G24" s="5" t="s">
        <v>79</v>
      </c>
      <c r="I24">
        <f t="shared" si="1"/>
        <v>-4.9295342255447266E-2</v>
      </c>
      <c r="L24" s="22">
        <v>-1.0731333999999999</v>
      </c>
      <c r="N24">
        <f t="shared" si="0"/>
        <v>0.33298268861416808</v>
      </c>
    </row>
    <row r="25" spans="1:14" ht="20" x14ac:dyDescent="0.2">
      <c r="A25" s="21">
        <v>230</v>
      </c>
      <c r="B25" s="4" t="s">
        <v>80</v>
      </c>
      <c r="C25" s="5">
        <v>0.83160000000000001</v>
      </c>
      <c r="D25" s="5">
        <v>113504</v>
      </c>
      <c r="E25" s="5" t="s">
        <v>81</v>
      </c>
      <c r="F25" s="5" t="s">
        <v>81</v>
      </c>
      <c r="G25" s="5" t="s">
        <v>82</v>
      </c>
      <c r="I25">
        <f t="shared" si="1"/>
        <v>-9.2166551049240319E-3</v>
      </c>
      <c r="L25" s="22">
        <v>-0.68797569999999997</v>
      </c>
      <c r="N25">
        <f t="shared" si="0"/>
        <v>0.40483407482461864</v>
      </c>
    </row>
    <row r="26" spans="1:14" ht="20" x14ac:dyDescent="0.2">
      <c r="A26" s="21">
        <v>229</v>
      </c>
      <c r="B26" s="4" t="s">
        <v>83</v>
      </c>
      <c r="C26" s="5">
        <v>0.83930000000000005</v>
      </c>
      <c r="D26" s="5">
        <v>161009</v>
      </c>
      <c r="E26" s="5" t="s">
        <v>84</v>
      </c>
      <c r="F26" s="5" t="s">
        <v>85</v>
      </c>
      <c r="G26" s="5" t="s">
        <v>84</v>
      </c>
      <c r="I26">
        <f t="shared" si="1"/>
        <v>8.6697311737285232E-2</v>
      </c>
      <c r="L26" s="22">
        <v>0.38835296000000002</v>
      </c>
      <c r="N26">
        <f t="shared" si="0"/>
        <v>0.46248263657034988</v>
      </c>
    </row>
    <row r="27" spans="1:14" ht="20" x14ac:dyDescent="0.2">
      <c r="A27" s="21">
        <v>228</v>
      </c>
      <c r="B27" s="6">
        <v>46358</v>
      </c>
      <c r="C27" s="5">
        <v>0.76959999999999995</v>
      </c>
      <c r="D27" s="5">
        <v>129508</v>
      </c>
      <c r="E27" s="5" t="s">
        <v>86</v>
      </c>
      <c r="F27" s="5" t="s">
        <v>87</v>
      </c>
      <c r="G27" s="5" t="s">
        <v>88</v>
      </c>
      <c r="I27">
        <f t="shared" si="1"/>
        <v>1.3869121955866759E-2</v>
      </c>
      <c r="L27" s="22">
        <v>0.42785009000000002</v>
      </c>
      <c r="N27">
        <f t="shared" si="0"/>
        <v>0.44397491754495905</v>
      </c>
    </row>
    <row r="28" spans="1:14" ht="20" x14ac:dyDescent="0.2">
      <c r="A28" s="21">
        <v>227</v>
      </c>
      <c r="B28" s="6">
        <v>46328</v>
      </c>
      <c r="C28" s="5">
        <v>0.75900000000000001</v>
      </c>
      <c r="D28" s="5">
        <v>63715</v>
      </c>
      <c r="E28" s="5" t="s">
        <v>89</v>
      </c>
      <c r="F28" s="5" t="s">
        <v>90</v>
      </c>
      <c r="G28" s="5" t="s">
        <v>91</v>
      </c>
      <c r="I28">
        <f t="shared" si="1"/>
        <v>9.2654534457901061E-3</v>
      </c>
      <c r="L28" s="22">
        <v>-0.53361789999999998</v>
      </c>
      <c r="N28">
        <f t="shared" si="0"/>
        <v>0.42349554514804733</v>
      </c>
    </row>
    <row r="29" spans="1:14" ht="20" x14ac:dyDescent="0.2">
      <c r="A29" s="21">
        <v>226</v>
      </c>
      <c r="B29" s="6">
        <v>46297</v>
      </c>
      <c r="C29" s="5">
        <v>0.752</v>
      </c>
      <c r="D29" s="5">
        <v>82418</v>
      </c>
      <c r="E29" s="5" t="s">
        <v>92</v>
      </c>
      <c r="F29" s="5" t="s">
        <v>93</v>
      </c>
      <c r="G29" s="5" t="s">
        <v>94</v>
      </c>
      <c r="I29">
        <f t="shared" si="1"/>
        <v>-6.1875403718087529E-2</v>
      </c>
      <c r="L29" s="22">
        <v>1.78677913</v>
      </c>
      <c r="N29">
        <f t="shared" si="0"/>
        <v>0.47188015925641774</v>
      </c>
    </row>
    <row r="30" spans="1:14" ht="20" x14ac:dyDescent="0.2">
      <c r="A30" s="21">
        <v>225</v>
      </c>
      <c r="B30" s="6">
        <v>46267</v>
      </c>
      <c r="C30" s="5">
        <v>0.8</v>
      </c>
      <c r="D30" s="5">
        <v>64595</v>
      </c>
      <c r="E30" s="5" t="s">
        <v>95</v>
      </c>
      <c r="F30" s="5" t="s">
        <v>96</v>
      </c>
      <c r="G30" s="5" t="s">
        <v>95</v>
      </c>
      <c r="I30">
        <f t="shared" si="1"/>
        <v>3.8221212820197803E-2</v>
      </c>
      <c r="L30" s="22">
        <v>0.11709648</v>
      </c>
      <c r="N30">
        <f t="shared" si="0"/>
        <v>0.36135076156968743</v>
      </c>
    </row>
    <row r="31" spans="1:14" ht="20" x14ac:dyDescent="0.2">
      <c r="A31" s="21">
        <v>224</v>
      </c>
      <c r="B31" s="6">
        <v>46175</v>
      </c>
      <c r="C31" s="5">
        <v>0.77</v>
      </c>
      <c r="D31" s="5">
        <v>71604</v>
      </c>
      <c r="E31" s="5" t="s">
        <v>88</v>
      </c>
      <c r="F31" s="5" t="s">
        <v>97</v>
      </c>
      <c r="G31" s="5" t="s">
        <v>98</v>
      </c>
      <c r="I31">
        <f t="shared" si="1"/>
        <v>2.5650863774212995E-2</v>
      </c>
      <c r="L31" s="22">
        <v>1.52179515</v>
      </c>
      <c r="N31">
        <f t="shared" si="0"/>
        <v>0.36243777094460566</v>
      </c>
    </row>
    <row r="32" spans="1:14" ht="20" x14ac:dyDescent="0.2">
      <c r="A32" s="21">
        <v>223</v>
      </c>
      <c r="B32" s="6">
        <v>46144</v>
      </c>
      <c r="C32" s="5">
        <v>0.75049999999999994</v>
      </c>
      <c r="D32" s="5">
        <v>164799</v>
      </c>
      <c r="E32" s="5" t="s">
        <v>99</v>
      </c>
      <c r="F32" s="5" t="s">
        <v>100</v>
      </c>
      <c r="G32" s="5" t="s">
        <v>101</v>
      </c>
      <c r="I32">
        <f t="shared" si="1"/>
        <v>-0.11325730177515378</v>
      </c>
      <c r="L32" s="22">
        <v>-1.1215242000000001</v>
      </c>
      <c r="N32">
        <f t="shared" si="0"/>
        <v>0.28968890929042213</v>
      </c>
    </row>
    <row r="33" spans="1:14" ht="20" x14ac:dyDescent="0.2">
      <c r="A33" s="21">
        <v>222</v>
      </c>
      <c r="B33" s="6">
        <v>46114</v>
      </c>
      <c r="C33" s="5">
        <v>0.84050000000000002</v>
      </c>
      <c r="D33" s="5">
        <v>125425</v>
      </c>
      <c r="E33" s="5" t="s">
        <v>102</v>
      </c>
      <c r="F33" s="5" t="s">
        <v>103</v>
      </c>
      <c r="G33" s="5" t="s">
        <v>104</v>
      </c>
      <c r="I33">
        <f t="shared" si="1"/>
        <v>7.523771085825387E-3</v>
      </c>
      <c r="L33" s="22">
        <v>2.0704798000000002</v>
      </c>
      <c r="N33">
        <f t="shared" si="0"/>
        <v>0.35496389115069454</v>
      </c>
    </row>
    <row r="34" spans="1:14" ht="20" x14ac:dyDescent="0.2">
      <c r="A34" s="21">
        <v>221</v>
      </c>
      <c r="B34" s="6">
        <v>46083</v>
      </c>
      <c r="C34" s="5">
        <v>0.83420000000000005</v>
      </c>
      <c r="D34" s="5">
        <v>221840</v>
      </c>
      <c r="E34" s="5" t="s">
        <v>105</v>
      </c>
      <c r="F34" s="5" t="s">
        <v>106</v>
      </c>
      <c r="G34" s="5" t="s">
        <v>107</v>
      </c>
      <c r="I34">
        <f t="shared" si="1"/>
        <v>-1.9703901563237203E-2</v>
      </c>
      <c r="L34" s="22">
        <v>0.56739037999999997</v>
      </c>
      <c r="N34">
        <f t="shared" si="0"/>
        <v>0.25963689788618227</v>
      </c>
    </row>
    <row r="35" spans="1:14" ht="20" x14ac:dyDescent="0.2">
      <c r="A35" s="21">
        <v>220</v>
      </c>
      <c r="B35" s="6">
        <v>46055</v>
      </c>
      <c r="C35" s="5">
        <v>0.8508</v>
      </c>
      <c r="D35" s="5">
        <v>188070</v>
      </c>
      <c r="E35" s="5" t="s">
        <v>108</v>
      </c>
      <c r="F35" s="5" t="s">
        <v>109</v>
      </c>
      <c r="G35" s="5" t="s">
        <v>110</v>
      </c>
      <c r="I35">
        <f t="shared" si="1"/>
        <v>-4.924385610678067E-3</v>
      </c>
      <c r="L35" s="22">
        <v>0.80866183000000003</v>
      </c>
      <c r="N35">
        <f t="shared" si="0"/>
        <v>0.2421371746117989</v>
      </c>
    </row>
    <row r="36" spans="1:14" ht="20" x14ac:dyDescent="0.2">
      <c r="A36" s="21">
        <v>219</v>
      </c>
      <c r="B36" s="4" t="s">
        <v>111</v>
      </c>
      <c r="C36" s="5">
        <v>0.85499999999999998</v>
      </c>
      <c r="D36" s="5">
        <v>81826</v>
      </c>
      <c r="E36" s="5" t="s">
        <v>112</v>
      </c>
      <c r="F36" s="5" t="s">
        <v>113</v>
      </c>
      <c r="G36" s="5" t="s">
        <v>112</v>
      </c>
      <c r="I36">
        <f t="shared" si="1"/>
        <v>4.5462374076757378E-2</v>
      </c>
      <c r="L36" s="22">
        <v>0.64799242999999995</v>
      </c>
      <c r="N36">
        <f t="shared" si="0"/>
        <v>0.21718004776606428</v>
      </c>
    </row>
    <row r="37" spans="1:14" ht="20" x14ac:dyDescent="0.2">
      <c r="A37" s="21">
        <v>218</v>
      </c>
      <c r="B37" s="4" t="s">
        <v>114</v>
      </c>
      <c r="C37" s="5">
        <v>0.81699999999999995</v>
      </c>
      <c r="D37" s="5">
        <v>169726</v>
      </c>
      <c r="E37" s="5" t="s">
        <v>115</v>
      </c>
      <c r="F37" s="5" t="s">
        <v>116</v>
      </c>
      <c r="G37" s="5" t="s">
        <v>117</v>
      </c>
      <c r="I37">
        <f t="shared" si="1"/>
        <v>1.4175892242973775E-2</v>
      </c>
      <c r="L37" s="22">
        <v>-0.47620170000000001</v>
      </c>
      <c r="N37">
        <f t="shared" si="0"/>
        <v>0.1999203192768983</v>
      </c>
    </row>
    <row r="38" spans="1:14" ht="20" x14ac:dyDescent="0.2">
      <c r="A38" s="21">
        <v>217</v>
      </c>
      <c r="B38" s="4" t="s">
        <v>118</v>
      </c>
      <c r="C38" s="5">
        <v>0.80549999999999999</v>
      </c>
      <c r="D38" s="5">
        <v>108517</v>
      </c>
      <c r="E38" s="5" t="s">
        <v>119</v>
      </c>
      <c r="F38" s="5" t="s">
        <v>120</v>
      </c>
      <c r="G38" s="5" t="s">
        <v>121</v>
      </c>
      <c r="I38">
        <f t="shared" si="1"/>
        <v>2.5779484834620586E-2</v>
      </c>
      <c r="L38" s="22">
        <v>1.40090184</v>
      </c>
      <c r="N38">
        <f t="shared" si="0"/>
        <v>0.22070356349451256</v>
      </c>
    </row>
    <row r="39" spans="1:14" ht="20" x14ac:dyDescent="0.2">
      <c r="A39" s="21">
        <v>216</v>
      </c>
      <c r="B39" s="4" t="s">
        <v>122</v>
      </c>
      <c r="C39" s="5">
        <v>0.78500000000000003</v>
      </c>
      <c r="D39" s="5">
        <v>208261</v>
      </c>
      <c r="E39" s="5" t="s">
        <v>123</v>
      </c>
      <c r="F39" s="5" t="s">
        <v>124</v>
      </c>
      <c r="G39" s="5" t="s">
        <v>125</v>
      </c>
      <c r="I39">
        <f t="shared" si="1"/>
        <v>0.11460338273900386</v>
      </c>
      <c r="L39" s="22">
        <v>1.3229121100000001</v>
      </c>
      <c r="N39">
        <f t="shared" si="0"/>
        <v>0.17988466741769873</v>
      </c>
    </row>
    <row r="40" spans="1:14" ht="20" x14ac:dyDescent="0.2">
      <c r="A40" s="21">
        <v>215</v>
      </c>
      <c r="B40" s="4" t="s">
        <v>126</v>
      </c>
      <c r="C40" s="5">
        <v>0.7</v>
      </c>
      <c r="D40" s="5">
        <v>523752</v>
      </c>
      <c r="E40" s="5" t="s">
        <v>127</v>
      </c>
      <c r="F40" s="5" t="s">
        <v>128</v>
      </c>
      <c r="G40" s="5" t="s">
        <v>15</v>
      </c>
      <c r="I40">
        <f t="shared" si="1"/>
        <v>-0.22940959289285617</v>
      </c>
      <c r="L40" s="22">
        <v>-0.6018308</v>
      </c>
      <c r="N40">
        <f t="shared" si="0"/>
        <v>0.14847509727606223</v>
      </c>
    </row>
    <row r="41" spans="1:14" ht="20" x14ac:dyDescent="0.2">
      <c r="A41" s="21">
        <v>214</v>
      </c>
      <c r="B41" s="4" t="s">
        <v>129</v>
      </c>
      <c r="C41" s="5">
        <v>0.88049999999999995</v>
      </c>
      <c r="D41" s="5">
        <v>314242</v>
      </c>
      <c r="E41" s="5" t="s">
        <v>130</v>
      </c>
      <c r="F41" s="5" t="s">
        <v>131</v>
      </c>
      <c r="G41" s="5" t="s">
        <v>132</v>
      </c>
      <c r="I41">
        <f t="shared" si="1"/>
        <v>0.10214781328192882</v>
      </c>
      <c r="L41" s="22">
        <v>0.98362556000000001</v>
      </c>
      <c r="N41">
        <f t="shared" si="0"/>
        <v>0.16727261686137834</v>
      </c>
    </row>
    <row r="42" spans="1:14" ht="20" x14ac:dyDescent="0.2">
      <c r="A42" s="21">
        <v>213</v>
      </c>
      <c r="B42" s="4" t="s">
        <v>133</v>
      </c>
      <c r="C42" s="5">
        <v>0.79500000000000004</v>
      </c>
      <c r="D42" s="5">
        <v>152017</v>
      </c>
      <c r="E42" s="5" t="s">
        <v>134</v>
      </c>
      <c r="F42" s="5" t="s">
        <v>110</v>
      </c>
      <c r="G42" s="5" t="s">
        <v>134</v>
      </c>
      <c r="I42">
        <f t="shared" si="1"/>
        <v>0</v>
      </c>
      <c r="L42" s="22">
        <v>0.75047814999999995</v>
      </c>
      <c r="N42">
        <f t="shared" si="0"/>
        <v>0.14584828374077094</v>
      </c>
    </row>
    <row r="43" spans="1:14" ht="20" x14ac:dyDescent="0.2">
      <c r="A43" s="21">
        <v>212</v>
      </c>
      <c r="B43" s="4" t="s">
        <v>135</v>
      </c>
      <c r="C43" s="5">
        <v>0.79500000000000004</v>
      </c>
      <c r="D43" s="5">
        <v>1339896</v>
      </c>
      <c r="E43" s="5" t="s">
        <v>136</v>
      </c>
      <c r="F43" s="5" t="s">
        <v>137</v>
      </c>
      <c r="G43" s="5" t="s">
        <v>88</v>
      </c>
      <c r="I43">
        <f t="shared" si="1"/>
        <v>3.1302459894161555E-2</v>
      </c>
      <c r="L43" s="22">
        <v>1.1227411199999999</v>
      </c>
      <c r="N43">
        <f t="shared" si="0"/>
        <v>0.1320517357579932</v>
      </c>
    </row>
    <row r="44" spans="1:14" ht="20" x14ac:dyDescent="0.2">
      <c r="A44" s="21">
        <v>211</v>
      </c>
      <c r="B44" s="4" t="s">
        <v>138</v>
      </c>
      <c r="C44" s="5">
        <v>0.77049999999999996</v>
      </c>
      <c r="D44" s="5">
        <v>556146</v>
      </c>
      <c r="E44" s="5" t="s">
        <v>139</v>
      </c>
      <c r="F44" s="5" t="s">
        <v>117</v>
      </c>
      <c r="G44" s="5" t="s">
        <v>140</v>
      </c>
      <c r="I44">
        <f t="shared" si="1"/>
        <v>0.1373767295567847</v>
      </c>
      <c r="L44" s="22">
        <v>-0.87296110000000005</v>
      </c>
      <c r="N44">
        <f t="shared" si="0"/>
        <v>0.11257839397469678</v>
      </c>
    </row>
    <row r="45" spans="1:14" ht="20" x14ac:dyDescent="0.2">
      <c r="A45" s="21">
        <v>210</v>
      </c>
      <c r="B45" s="4" t="s">
        <v>141</v>
      </c>
      <c r="C45" s="5">
        <v>0.67159999999999997</v>
      </c>
      <c r="D45" s="5">
        <v>1621332</v>
      </c>
      <c r="E45" s="5" t="s">
        <v>142</v>
      </c>
      <c r="F45" s="5" t="s">
        <v>143</v>
      </c>
      <c r="G45" s="5" t="s">
        <v>142</v>
      </c>
      <c r="I45">
        <f t="shared" si="1"/>
        <v>0.22496921921450624</v>
      </c>
      <c r="L45" s="22">
        <v>-1.434653</v>
      </c>
      <c r="N45">
        <f t="shared" si="0"/>
        <v>0.13251312546161992</v>
      </c>
    </row>
    <row r="46" spans="1:14" ht="20" x14ac:dyDescent="0.2">
      <c r="A46" s="21">
        <v>209</v>
      </c>
      <c r="B46" s="4" t="s">
        <v>144</v>
      </c>
      <c r="C46" s="5">
        <v>0.5363</v>
      </c>
      <c r="D46" s="5">
        <v>404532</v>
      </c>
      <c r="E46" s="5" t="s">
        <v>145</v>
      </c>
      <c r="F46" s="5" t="s">
        <v>146</v>
      </c>
      <c r="G46" s="5" t="s">
        <v>147</v>
      </c>
      <c r="I46">
        <f t="shared" si="1"/>
        <v>0.10820292967981571</v>
      </c>
      <c r="L46" s="22">
        <v>1.47143318</v>
      </c>
      <c r="N46">
        <f t="shared" si="0"/>
        <v>0.1708016267335612</v>
      </c>
    </row>
    <row r="47" spans="1:14" ht="20" x14ac:dyDescent="0.2">
      <c r="A47" s="21">
        <v>208</v>
      </c>
      <c r="B47" s="4" t="s">
        <v>148</v>
      </c>
      <c r="C47" s="5">
        <v>0.48130000000000001</v>
      </c>
      <c r="D47" s="5">
        <v>283098</v>
      </c>
      <c r="E47" s="5" t="s">
        <v>149</v>
      </c>
      <c r="F47" s="5" t="s">
        <v>150</v>
      </c>
      <c r="G47" s="5" t="s">
        <v>151</v>
      </c>
      <c r="I47">
        <f t="shared" si="1"/>
        <v>4.006045895089605E-2</v>
      </c>
      <c r="L47" s="22">
        <v>-0.9046978</v>
      </c>
      <c r="N47">
        <f t="shared" si="0"/>
        <v>0.13763398833487631</v>
      </c>
    </row>
    <row r="48" spans="1:14" ht="20" x14ac:dyDescent="0.2">
      <c r="A48" s="21">
        <v>207</v>
      </c>
      <c r="B48" s="4" t="s">
        <v>152</v>
      </c>
      <c r="C48" s="5">
        <v>0.46239999999999998</v>
      </c>
      <c r="D48" s="5">
        <v>233502</v>
      </c>
      <c r="E48" s="5" t="s">
        <v>153</v>
      </c>
      <c r="F48" s="5" t="s">
        <v>154</v>
      </c>
      <c r="G48" s="5" t="s">
        <v>153</v>
      </c>
      <c r="I48">
        <f t="shared" si="1"/>
        <v>-4.324324391711265E-4</v>
      </c>
      <c r="L48" s="22">
        <v>0.65676204999999999</v>
      </c>
      <c r="N48">
        <f t="shared" si="0"/>
        <v>0.16283860541264189</v>
      </c>
    </row>
    <row r="49" spans="1:14" ht="20" x14ac:dyDescent="0.2">
      <c r="A49" s="21">
        <v>206</v>
      </c>
      <c r="B49" s="6">
        <v>46357</v>
      </c>
      <c r="C49" s="5">
        <v>0.46260000000000001</v>
      </c>
      <c r="D49" s="5">
        <v>208128</v>
      </c>
      <c r="E49" s="5" t="s">
        <v>155</v>
      </c>
      <c r="F49" s="5" t="s">
        <v>156</v>
      </c>
      <c r="G49" s="5" t="s">
        <v>155</v>
      </c>
      <c r="I49">
        <f t="shared" si="1"/>
        <v>1.7004987920957837E-2</v>
      </c>
      <c r="L49" s="22">
        <v>1.1908600499999999</v>
      </c>
      <c r="N49">
        <f t="shared" si="0"/>
        <v>0.14968517279858717</v>
      </c>
    </row>
    <row r="50" spans="1:14" ht="20" x14ac:dyDescent="0.2">
      <c r="A50" s="21">
        <v>205</v>
      </c>
      <c r="B50" s="6">
        <v>46266</v>
      </c>
      <c r="C50" s="5">
        <v>0.45479999999999998</v>
      </c>
      <c r="D50" s="5">
        <v>277426</v>
      </c>
      <c r="E50" s="5" t="s">
        <v>157</v>
      </c>
      <c r="F50" s="5" t="s">
        <v>158</v>
      </c>
      <c r="G50" s="5" t="s">
        <v>159</v>
      </c>
      <c r="I50">
        <f t="shared" si="1"/>
        <v>5.8400842948364007E-2</v>
      </c>
      <c r="L50" s="22">
        <v>0.34069318999999998</v>
      </c>
      <c r="N50">
        <f t="shared" si="0"/>
        <v>0.12621412257142348</v>
      </c>
    </row>
    <row r="51" spans="1:14" ht="20" x14ac:dyDescent="0.2">
      <c r="A51" s="21">
        <v>204</v>
      </c>
      <c r="B51" s="6">
        <v>46235</v>
      </c>
      <c r="C51" s="5">
        <v>0.42899999999999999</v>
      </c>
      <c r="D51" s="5">
        <v>406541</v>
      </c>
      <c r="E51" s="5" t="s">
        <v>160</v>
      </c>
      <c r="F51" s="5" t="s">
        <v>161</v>
      </c>
      <c r="G51" s="5" t="s">
        <v>162</v>
      </c>
      <c r="I51">
        <f t="shared" si="1"/>
        <v>-0.10543044328276308</v>
      </c>
      <c r="L51" s="22">
        <v>-0.29392079999999998</v>
      </c>
      <c r="N51">
        <f t="shared" si="0"/>
        <v>0.12210024708601246</v>
      </c>
    </row>
    <row r="52" spans="1:14" ht="20" x14ac:dyDescent="0.2">
      <c r="A52" s="21">
        <v>203</v>
      </c>
      <c r="B52" s="6">
        <v>46204</v>
      </c>
      <c r="C52" s="5">
        <v>0.47670000000000001</v>
      </c>
      <c r="D52" s="5">
        <v>936817</v>
      </c>
      <c r="E52" s="5" t="s">
        <v>163</v>
      </c>
      <c r="F52" s="5" t="s">
        <v>164</v>
      </c>
      <c r="G52" s="5" t="s">
        <v>165</v>
      </c>
      <c r="I52">
        <f t="shared" si="1"/>
        <v>0.1716798288239636</v>
      </c>
      <c r="L52" s="22">
        <v>1.30710335</v>
      </c>
      <c r="N52">
        <f t="shared" si="0"/>
        <v>0.13088001130779356</v>
      </c>
    </row>
    <row r="53" spans="1:14" ht="20" x14ac:dyDescent="0.2">
      <c r="A53" s="21">
        <v>202</v>
      </c>
      <c r="B53" s="6">
        <v>46174</v>
      </c>
      <c r="C53" s="5">
        <v>0.40150000000000002</v>
      </c>
      <c r="D53" s="5">
        <v>1291086</v>
      </c>
      <c r="E53" s="5" t="s">
        <v>166</v>
      </c>
      <c r="F53" s="5" t="s">
        <v>167</v>
      </c>
      <c r="G53" s="5" t="s">
        <v>168</v>
      </c>
      <c r="I53">
        <f t="shared" si="1"/>
        <v>-5.2164645659461439E-2</v>
      </c>
      <c r="L53" s="22">
        <v>-9.5808500000000005E-2</v>
      </c>
      <c r="N53">
        <f t="shared" si="0"/>
        <v>0.10830350880901463</v>
      </c>
    </row>
    <row r="54" spans="1:14" ht="20" x14ac:dyDescent="0.2">
      <c r="A54" s="21">
        <v>201</v>
      </c>
      <c r="B54" s="6">
        <v>46143</v>
      </c>
      <c r="C54" s="5">
        <v>0.42299999999999999</v>
      </c>
      <c r="D54" s="5">
        <v>450794</v>
      </c>
      <c r="E54" s="5" t="s">
        <v>169</v>
      </c>
      <c r="F54" s="5" t="s">
        <v>169</v>
      </c>
      <c r="G54" s="5" t="s">
        <v>170</v>
      </c>
      <c r="I54">
        <f t="shared" si="1"/>
        <v>-4.4390089377068009E-2</v>
      </c>
      <c r="L54" s="22">
        <v>-0.2510076</v>
      </c>
      <c r="N54">
        <f t="shared" si="0"/>
        <v>0.112432627212587</v>
      </c>
    </row>
    <row r="55" spans="1:14" ht="20" x14ac:dyDescent="0.2">
      <c r="A55" s="21">
        <v>200</v>
      </c>
      <c r="B55" s="6">
        <v>46054</v>
      </c>
      <c r="C55" s="5">
        <v>0.44219999999999998</v>
      </c>
      <c r="D55" s="5">
        <v>517065</v>
      </c>
      <c r="E55" s="5" t="s">
        <v>171</v>
      </c>
      <c r="F55" s="5" t="s">
        <v>172</v>
      </c>
      <c r="G55" s="5" t="s">
        <v>173</v>
      </c>
      <c r="I55">
        <f t="shared" si="1"/>
        <v>7.5605108724992487E-2</v>
      </c>
      <c r="L55" s="22">
        <v>0.26065928999999999</v>
      </c>
      <c r="N55">
        <f t="shared" si="0"/>
        <v>0.11968418012316126</v>
      </c>
    </row>
    <row r="56" spans="1:14" ht="20" x14ac:dyDescent="0.2">
      <c r="A56" s="21">
        <v>199</v>
      </c>
      <c r="B56" s="4" t="s">
        <v>174</v>
      </c>
      <c r="C56" s="5">
        <v>0.41</v>
      </c>
      <c r="D56" s="5">
        <v>277152</v>
      </c>
      <c r="E56" s="5" t="s">
        <v>175</v>
      </c>
      <c r="F56" s="5" t="s">
        <v>176</v>
      </c>
      <c r="G56" s="5" t="s">
        <v>177</v>
      </c>
      <c r="I56">
        <f t="shared" si="1"/>
        <v>6.6296162445446782E-2</v>
      </c>
      <c r="L56" s="22">
        <v>0.80666384999999996</v>
      </c>
      <c r="N56">
        <f t="shared" si="0"/>
        <v>0.1172906797888662</v>
      </c>
    </row>
    <row r="57" spans="1:14" ht="20" x14ac:dyDescent="0.2">
      <c r="A57" s="21">
        <v>198</v>
      </c>
      <c r="B57" s="4" t="s">
        <v>178</v>
      </c>
      <c r="C57" s="5">
        <v>0.38369999999999999</v>
      </c>
      <c r="D57" s="5">
        <v>480072</v>
      </c>
      <c r="E57" s="5" t="s">
        <v>179</v>
      </c>
      <c r="F57" s="5" t="s">
        <v>180</v>
      </c>
      <c r="G57" s="5" t="s">
        <v>181</v>
      </c>
      <c r="I57">
        <f t="shared" si="1"/>
        <v>-4.8082515952784455E-2</v>
      </c>
      <c r="L57" s="22">
        <v>0.50369366999999998</v>
      </c>
      <c r="N57">
        <f t="shared" si="0"/>
        <v>0.10523548573099066</v>
      </c>
    </row>
    <row r="58" spans="1:14" ht="20" x14ac:dyDescent="0.2">
      <c r="A58" s="21">
        <v>197</v>
      </c>
      <c r="B58" s="4" t="s">
        <v>182</v>
      </c>
      <c r="C58" s="5">
        <v>0.40260000000000001</v>
      </c>
      <c r="D58" s="5">
        <v>591420</v>
      </c>
      <c r="E58" s="5" t="s">
        <v>183</v>
      </c>
      <c r="F58" s="5" t="s">
        <v>184</v>
      </c>
      <c r="G58" s="5" t="s">
        <v>185</v>
      </c>
      <c r="I58">
        <f t="shared" si="1"/>
        <v>3.1796774081998991E-2</v>
      </c>
      <c r="L58" s="22">
        <v>1.40702226</v>
      </c>
      <c r="N58">
        <f t="shared" si="0"/>
        <v>9.9158193529006747E-2</v>
      </c>
    </row>
    <row r="59" spans="1:14" ht="20" x14ac:dyDescent="0.2">
      <c r="A59" s="21">
        <v>196</v>
      </c>
      <c r="B59" s="4" t="s">
        <v>186</v>
      </c>
      <c r="C59" s="5">
        <v>0.39</v>
      </c>
      <c r="D59" s="5">
        <v>966927</v>
      </c>
      <c r="E59" s="5" t="s">
        <v>187</v>
      </c>
      <c r="F59" s="5" t="s">
        <v>188</v>
      </c>
      <c r="G59" s="5" t="s">
        <v>189</v>
      </c>
      <c r="I59">
        <f t="shared" si="1"/>
        <v>-5.0010420574661318E-2</v>
      </c>
      <c r="L59" s="22">
        <v>-0.40641939999999999</v>
      </c>
      <c r="N59">
        <f t="shared" si="0"/>
        <v>8.073907534148661E-2</v>
      </c>
    </row>
    <row r="60" spans="1:14" ht="20" x14ac:dyDescent="0.2">
      <c r="A60" s="21">
        <v>195</v>
      </c>
      <c r="B60" s="4" t="s">
        <v>190</v>
      </c>
      <c r="C60" s="5">
        <v>0.41</v>
      </c>
      <c r="D60" s="5">
        <v>497949</v>
      </c>
      <c r="E60" s="5" t="s">
        <v>191</v>
      </c>
      <c r="F60" s="5" t="s">
        <v>191</v>
      </c>
      <c r="G60" s="5" t="s">
        <v>192</v>
      </c>
      <c r="I60">
        <f t="shared" si="1"/>
        <v>-3.1215019347924478E-2</v>
      </c>
      <c r="L60" s="22">
        <v>-0.48150080000000001</v>
      </c>
      <c r="N60">
        <f t="shared" si="0"/>
        <v>8.8132816800734731E-2</v>
      </c>
    </row>
    <row r="61" spans="1:14" ht="20" x14ac:dyDescent="0.2">
      <c r="A61" s="21">
        <v>194</v>
      </c>
      <c r="B61" s="4" t="s">
        <v>193</v>
      </c>
      <c r="C61" s="5">
        <v>0.42299999999999999</v>
      </c>
      <c r="D61" s="5">
        <v>545884</v>
      </c>
      <c r="E61" s="5" t="s">
        <v>184</v>
      </c>
      <c r="F61" s="5" t="s">
        <v>194</v>
      </c>
      <c r="G61" s="5" t="s">
        <v>195</v>
      </c>
      <c r="I61">
        <f t="shared" si="1"/>
        <v>2.2231105578912058E-2</v>
      </c>
      <c r="L61" s="22">
        <v>-0.15795480000000001</v>
      </c>
      <c r="N61">
        <f t="shared" si="0"/>
        <v>9.7378267144967459E-2</v>
      </c>
    </row>
    <row r="62" spans="1:14" ht="20" x14ac:dyDescent="0.2">
      <c r="A62" s="21">
        <v>193</v>
      </c>
      <c r="B62" s="4" t="s">
        <v>196</v>
      </c>
      <c r="C62" s="5">
        <v>0.41370000000000001</v>
      </c>
      <c r="D62" s="5">
        <v>1054069</v>
      </c>
      <c r="E62" s="5" t="s">
        <v>197</v>
      </c>
      <c r="F62" s="5" t="s">
        <v>198</v>
      </c>
      <c r="G62" s="5" t="s">
        <v>192</v>
      </c>
      <c r="I62">
        <f t="shared" si="1"/>
        <v>-4.1430946127421597E-2</v>
      </c>
      <c r="L62" s="22">
        <v>0.10605607</v>
      </c>
      <c r="N62">
        <f t="shared" si="0"/>
        <v>0.10211143429205249</v>
      </c>
    </row>
    <row r="63" spans="1:14" ht="20" x14ac:dyDescent="0.2">
      <c r="A63" s="21">
        <v>192</v>
      </c>
      <c r="B63" s="4" t="s">
        <v>199</v>
      </c>
      <c r="C63" s="5">
        <v>0.43120000000000003</v>
      </c>
      <c r="D63" s="5">
        <v>448690</v>
      </c>
      <c r="E63" s="5" t="s">
        <v>200</v>
      </c>
      <c r="F63" s="5" t="s">
        <v>201</v>
      </c>
      <c r="G63" s="5" t="s">
        <v>170</v>
      </c>
      <c r="I63">
        <f t="shared" si="1"/>
        <v>2.8701099672649777E-2</v>
      </c>
      <c r="L63" s="22">
        <v>-1.4225794</v>
      </c>
      <c r="N63">
        <f t="shared" si="0"/>
        <v>0.10260153539592602</v>
      </c>
    </row>
    <row r="64" spans="1:14" ht="20" x14ac:dyDescent="0.2">
      <c r="A64" s="21">
        <v>191</v>
      </c>
      <c r="B64" s="4" t="s">
        <v>202</v>
      </c>
      <c r="C64" s="5">
        <v>0.41899999999999998</v>
      </c>
      <c r="D64" s="5">
        <v>623537</v>
      </c>
      <c r="E64" s="5" t="s">
        <v>203</v>
      </c>
      <c r="F64" s="5" t="s">
        <v>204</v>
      </c>
      <c r="G64" s="5" t="s">
        <v>205</v>
      </c>
      <c r="I64">
        <f t="shared" si="1"/>
        <v>-2.0551095310725298E-2</v>
      </c>
      <c r="L64" s="22">
        <v>-1.0303020000000001</v>
      </c>
      <c r="N64">
        <f t="shared" si="0"/>
        <v>0.13198951437462103</v>
      </c>
    </row>
    <row r="65" spans="1:14" ht="20" x14ac:dyDescent="0.2">
      <c r="A65" s="21">
        <v>190</v>
      </c>
      <c r="B65" s="4" t="s">
        <v>206</v>
      </c>
      <c r="C65" s="5">
        <v>0.42770000000000002</v>
      </c>
      <c r="D65" s="5">
        <v>817470</v>
      </c>
      <c r="E65" s="5" t="s">
        <v>207</v>
      </c>
      <c r="F65" s="5" t="s">
        <v>208</v>
      </c>
      <c r="G65" s="5" t="s">
        <v>173</v>
      </c>
      <c r="I65">
        <f t="shared" si="1"/>
        <v>-0.12366289148376874</v>
      </c>
      <c r="L65" s="22">
        <v>-1.7510338999999999</v>
      </c>
      <c r="N65">
        <f t="shared" si="0"/>
        <v>0.15936325309223676</v>
      </c>
    </row>
    <row r="66" spans="1:14" ht="20" x14ac:dyDescent="0.2">
      <c r="A66" s="21">
        <v>189</v>
      </c>
      <c r="B66" s="4" t="s">
        <v>209</v>
      </c>
      <c r="C66" s="5">
        <v>0.48399999999999999</v>
      </c>
      <c r="D66" s="5">
        <v>1299343</v>
      </c>
      <c r="E66" s="5" t="s">
        <v>210</v>
      </c>
      <c r="F66" s="5" t="s">
        <v>211</v>
      </c>
      <c r="G66" s="5" t="s">
        <v>212</v>
      </c>
      <c r="I66">
        <f t="shared" si="1"/>
        <v>-0.10204925435417034</v>
      </c>
      <c r="L66" s="22">
        <v>-1.1691598000000001</v>
      </c>
      <c r="N66">
        <f t="shared" si="0"/>
        <v>0.21618739961062416</v>
      </c>
    </row>
    <row r="67" spans="1:14" ht="20" x14ac:dyDescent="0.2">
      <c r="A67" s="21">
        <v>188</v>
      </c>
      <c r="B67" s="4" t="s">
        <v>213</v>
      </c>
      <c r="C67" s="5">
        <v>0.53600000000000003</v>
      </c>
      <c r="D67" s="5">
        <v>2279133</v>
      </c>
      <c r="E67" s="5" t="s">
        <v>214</v>
      </c>
      <c r="F67" s="5" t="s">
        <v>215</v>
      </c>
      <c r="G67" s="5" t="s">
        <v>216</v>
      </c>
      <c r="I67">
        <f t="shared" si="1"/>
        <v>-0.14397111161379406</v>
      </c>
      <c r="L67" s="22">
        <v>-0.5559847</v>
      </c>
      <c r="N67">
        <f t="shared" si="0"/>
        <v>0.26694794150186135</v>
      </c>
    </row>
    <row r="68" spans="1:14" ht="20" x14ac:dyDescent="0.2">
      <c r="A68" s="21">
        <v>187</v>
      </c>
      <c r="B68" s="6">
        <v>46003</v>
      </c>
      <c r="C68" s="5">
        <v>0.61899999999999999</v>
      </c>
      <c r="D68" s="5">
        <v>269817</v>
      </c>
      <c r="E68" s="5" t="s">
        <v>14</v>
      </c>
      <c r="F68" s="5" t="s">
        <v>14</v>
      </c>
      <c r="G68" s="5" t="s">
        <v>26</v>
      </c>
      <c r="I68">
        <f t="shared" si="1"/>
        <v>-3.1955663971640014E-2</v>
      </c>
      <c r="L68" s="22">
        <v>-0.2042591</v>
      </c>
      <c r="N68">
        <f t="shared" si="0"/>
        <v>0.29852419532937585</v>
      </c>
    </row>
    <row r="69" spans="1:14" ht="20" x14ac:dyDescent="0.2">
      <c r="A69" s="21">
        <v>186</v>
      </c>
      <c r="B69" s="6">
        <v>45973</v>
      </c>
      <c r="C69" s="5">
        <v>0.6391</v>
      </c>
      <c r="D69" s="5">
        <v>374228</v>
      </c>
      <c r="E69" s="5" t="s">
        <v>217</v>
      </c>
      <c r="F69" s="5" t="s">
        <v>217</v>
      </c>
      <c r="G69" s="5" t="s">
        <v>24</v>
      </c>
      <c r="I69">
        <f t="shared" ref="I69:I132" si="2">LN(C69)-LN(C70)</f>
        <v>-5.2427059194182557E-2</v>
      </c>
      <c r="L69" s="22">
        <v>-0.48266320000000001</v>
      </c>
      <c r="N69">
        <f t="shared" ref="N69:N132" si="3">N70*EXP((($P$3-$P$4/2)+$P$5*L69))</f>
        <v>0.31538592506615426</v>
      </c>
    </row>
    <row r="70" spans="1:14" ht="20" x14ac:dyDescent="0.2">
      <c r="A70" s="21">
        <v>185</v>
      </c>
      <c r="B70" s="6">
        <v>45942</v>
      </c>
      <c r="C70" s="5">
        <v>0.67349999999999999</v>
      </c>
      <c r="D70" s="5">
        <v>274427</v>
      </c>
      <c r="E70" s="5" t="s">
        <v>218</v>
      </c>
      <c r="F70" s="5" t="s">
        <v>219</v>
      </c>
      <c r="G70" s="5" t="s">
        <v>220</v>
      </c>
      <c r="I70">
        <f t="shared" si="2"/>
        <v>1.8734155998732349E-2</v>
      </c>
      <c r="L70" s="22">
        <v>1.73474211</v>
      </c>
      <c r="N70">
        <f t="shared" si="3"/>
        <v>0.34853652465831109</v>
      </c>
    </row>
    <row r="71" spans="1:14" ht="20" x14ac:dyDescent="0.2">
      <c r="A71" s="21">
        <v>184</v>
      </c>
      <c r="B71" s="6">
        <v>45912</v>
      </c>
      <c r="C71" s="5">
        <v>0.66100000000000003</v>
      </c>
      <c r="D71" s="5">
        <v>407080</v>
      </c>
      <c r="E71" s="5" t="s">
        <v>221</v>
      </c>
      <c r="F71" s="5" t="s">
        <v>222</v>
      </c>
      <c r="G71" s="5" t="s">
        <v>223</v>
      </c>
      <c r="I71">
        <f t="shared" si="2"/>
        <v>-5.5896902382123859E-2</v>
      </c>
      <c r="L71" s="22">
        <v>0.49668504000000002</v>
      </c>
      <c r="N71">
        <f t="shared" si="3"/>
        <v>0.26915249619802861</v>
      </c>
    </row>
    <row r="72" spans="1:14" ht="20" x14ac:dyDescent="0.2">
      <c r="A72" s="21">
        <v>183</v>
      </c>
      <c r="B72" s="6">
        <v>45881</v>
      </c>
      <c r="C72" s="5">
        <v>0.69899999999999995</v>
      </c>
      <c r="D72" s="5">
        <v>433689</v>
      </c>
      <c r="E72" s="5" t="s">
        <v>224</v>
      </c>
      <c r="F72" s="5" t="s">
        <v>89</v>
      </c>
      <c r="G72" s="5" t="s">
        <v>225</v>
      </c>
      <c r="I72">
        <f t="shared" si="2"/>
        <v>-4.3530768828229871E-2</v>
      </c>
      <c r="L72" s="22">
        <v>-1.0947884000000001</v>
      </c>
      <c r="N72">
        <f t="shared" si="3"/>
        <v>0.25389654733684869</v>
      </c>
    </row>
    <row r="73" spans="1:14" ht="20" x14ac:dyDescent="0.2">
      <c r="A73" s="21">
        <v>182</v>
      </c>
      <c r="B73" s="6">
        <v>45789</v>
      </c>
      <c r="C73" s="5">
        <v>0.73009999999999997</v>
      </c>
      <c r="D73" s="5">
        <v>472206</v>
      </c>
      <c r="E73" s="5" t="s">
        <v>226</v>
      </c>
      <c r="F73" s="5" t="s">
        <v>226</v>
      </c>
      <c r="G73" s="5" t="s">
        <v>227</v>
      </c>
      <c r="I73">
        <f t="shared" si="2"/>
        <v>-0.10385273660444447</v>
      </c>
      <c r="L73" s="22">
        <v>-0.42254449999999999</v>
      </c>
      <c r="N73">
        <f t="shared" si="3"/>
        <v>0.3097649830071485</v>
      </c>
    </row>
    <row r="74" spans="1:14" ht="20" x14ac:dyDescent="0.2">
      <c r="A74" s="21">
        <v>181</v>
      </c>
      <c r="B74" s="6">
        <v>45759</v>
      </c>
      <c r="C74" s="5">
        <v>0.81</v>
      </c>
      <c r="D74" s="5">
        <v>951922</v>
      </c>
      <c r="E74" s="5" t="s">
        <v>228</v>
      </c>
      <c r="F74" s="5" t="s">
        <v>130</v>
      </c>
      <c r="G74" s="5" t="s">
        <v>229</v>
      </c>
      <c r="I74">
        <f t="shared" si="2"/>
        <v>5.3635215832631616E-2</v>
      </c>
      <c r="L74" s="22">
        <v>-0.26175470000000001</v>
      </c>
      <c r="N74">
        <f t="shared" si="3"/>
        <v>0.3390143954213618</v>
      </c>
    </row>
    <row r="75" spans="1:14" ht="20" x14ac:dyDescent="0.2">
      <c r="A75" s="21">
        <v>180</v>
      </c>
      <c r="B75" s="6">
        <v>45728</v>
      </c>
      <c r="C75" s="5">
        <v>0.76770000000000005</v>
      </c>
      <c r="D75" s="5">
        <v>584973</v>
      </c>
      <c r="E75" s="5" t="s">
        <v>230</v>
      </c>
      <c r="F75" s="5" t="s">
        <v>231</v>
      </c>
      <c r="G75" s="5" t="s">
        <v>227</v>
      </c>
      <c r="I75">
        <f t="shared" si="2"/>
        <v>-1.5894887849784545E-2</v>
      </c>
      <c r="L75" s="22">
        <v>0.55969634000000001</v>
      </c>
      <c r="N75">
        <f t="shared" si="3"/>
        <v>0.36150719669910802</v>
      </c>
    </row>
    <row r="76" spans="1:14" ht="20" x14ac:dyDescent="0.2">
      <c r="A76" s="21">
        <v>179</v>
      </c>
      <c r="B76" s="6">
        <v>45700</v>
      </c>
      <c r="C76" s="5">
        <v>0.78</v>
      </c>
      <c r="D76" s="5">
        <v>751540</v>
      </c>
      <c r="E76" s="5" t="s">
        <v>232</v>
      </c>
      <c r="F76" s="5" t="s">
        <v>233</v>
      </c>
      <c r="G76" s="5" t="s">
        <v>232</v>
      </c>
      <c r="I76">
        <f t="shared" si="2"/>
        <v>7.0367442150118087E-2</v>
      </c>
      <c r="L76" s="22">
        <v>-0.1297894</v>
      </c>
      <c r="N76">
        <f t="shared" si="3"/>
        <v>0.33756087753550656</v>
      </c>
    </row>
    <row r="77" spans="1:14" ht="20" x14ac:dyDescent="0.2">
      <c r="A77" s="21">
        <v>178</v>
      </c>
      <c r="B77" s="6">
        <v>45669</v>
      </c>
      <c r="C77" s="5">
        <v>0.72699999999999998</v>
      </c>
      <c r="D77" s="5">
        <v>2308137</v>
      </c>
      <c r="E77" s="5" t="s">
        <v>234</v>
      </c>
      <c r="F77" s="5" t="s">
        <v>235</v>
      </c>
      <c r="G77" s="5" t="s">
        <v>15</v>
      </c>
      <c r="I77">
        <f t="shared" si="2"/>
        <v>-3.1146728996836792E-2</v>
      </c>
      <c r="L77" s="22">
        <v>-0.63811759999999995</v>
      </c>
      <c r="N77">
        <f t="shared" si="3"/>
        <v>0.35236057223493916</v>
      </c>
    </row>
    <row r="78" spans="1:14" ht="20" x14ac:dyDescent="0.2">
      <c r="A78" s="21">
        <v>177</v>
      </c>
      <c r="B78" s="4" t="s">
        <v>236</v>
      </c>
      <c r="C78" s="5">
        <v>0.75</v>
      </c>
      <c r="D78" s="5">
        <v>22097850</v>
      </c>
      <c r="E78" s="5" t="s">
        <v>15</v>
      </c>
      <c r="F78" s="5" t="s">
        <v>237</v>
      </c>
      <c r="G78" s="5" t="s">
        <v>238</v>
      </c>
      <c r="I78">
        <f t="shared" si="2"/>
        <v>0.12783337150988489</v>
      </c>
      <c r="L78" s="22">
        <v>-1.3420483999999999</v>
      </c>
      <c r="N78">
        <f t="shared" si="3"/>
        <v>0.39930594376268447</v>
      </c>
    </row>
    <row r="79" spans="1:14" ht="20" x14ac:dyDescent="0.2">
      <c r="A79" s="21">
        <v>176</v>
      </c>
      <c r="B79" s="4" t="s">
        <v>239</v>
      </c>
      <c r="C79" s="5">
        <v>0.66</v>
      </c>
      <c r="D79" s="5">
        <v>10799590</v>
      </c>
      <c r="E79" s="5" t="s">
        <v>240</v>
      </c>
      <c r="F79" s="5" t="s">
        <v>108</v>
      </c>
      <c r="G79" s="5" t="s">
        <v>241</v>
      </c>
      <c r="I79">
        <f t="shared" si="2"/>
        <v>0.25920260112991239</v>
      </c>
      <c r="L79" s="22">
        <v>-1.0734178999999999</v>
      </c>
      <c r="N79">
        <f t="shared" si="3"/>
        <v>0.50703540593302243</v>
      </c>
    </row>
    <row r="80" spans="1:14" ht="20" x14ac:dyDescent="0.2">
      <c r="A80" s="21">
        <v>175</v>
      </c>
      <c r="B80" s="4" t="s">
        <v>242</v>
      </c>
      <c r="C80" s="5">
        <v>0.50929999999999997</v>
      </c>
      <c r="D80" s="5">
        <v>2459909</v>
      </c>
      <c r="E80" s="5" t="s">
        <v>243</v>
      </c>
      <c r="F80" s="5" t="s">
        <v>244</v>
      </c>
      <c r="G80" s="5" t="s">
        <v>245</v>
      </c>
      <c r="I80">
        <f t="shared" si="2"/>
        <v>-0.56935752943375184</v>
      </c>
      <c r="L80" s="22">
        <v>9.5867610000000006E-2</v>
      </c>
      <c r="N80">
        <f t="shared" si="3"/>
        <v>0.61647243496047932</v>
      </c>
    </row>
    <row r="81" spans="1:14" ht="20" x14ac:dyDescent="0.2">
      <c r="A81" s="21">
        <v>174</v>
      </c>
      <c r="B81" s="4" t="s">
        <v>246</v>
      </c>
      <c r="C81" s="5">
        <v>0.9</v>
      </c>
      <c r="D81" s="5">
        <v>3009224</v>
      </c>
      <c r="E81" s="5" t="s">
        <v>247</v>
      </c>
      <c r="F81" s="5" t="s">
        <v>248</v>
      </c>
      <c r="G81" s="5" t="s">
        <v>247</v>
      </c>
      <c r="I81">
        <f t="shared" si="2"/>
        <v>0.1949340948447984</v>
      </c>
      <c r="L81" s="22">
        <v>0.90237316999999995</v>
      </c>
      <c r="N81">
        <f t="shared" si="3"/>
        <v>0.62045222751155227</v>
      </c>
    </row>
    <row r="82" spans="1:14" ht="20" x14ac:dyDescent="0.2">
      <c r="A82" s="21">
        <v>173</v>
      </c>
      <c r="B82" s="4" t="s">
        <v>249</v>
      </c>
      <c r="C82" s="5">
        <v>0.74060000000000004</v>
      </c>
      <c r="D82" s="5">
        <v>457149</v>
      </c>
      <c r="E82" s="5" t="s">
        <v>250</v>
      </c>
      <c r="F82" s="5" t="s">
        <v>251</v>
      </c>
      <c r="G82" s="5" t="s">
        <v>252</v>
      </c>
      <c r="I82">
        <f t="shared" si="2"/>
        <v>-0.27292341370649265</v>
      </c>
      <c r="L82" s="22">
        <v>-1.1551823000000001</v>
      </c>
      <c r="N82">
        <f t="shared" si="3"/>
        <v>0.54813624269402617</v>
      </c>
    </row>
    <row r="83" spans="1:14" ht="20" x14ac:dyDescent="0.2">
      <c r="A83" s="21">
        <v>172</v>
      </c>
      <c r="B83" s="4" t="s">
        <v>253</v>
      </c>
      <c r="C83" s="5">
        <v>0.97299999999999998</v>
      </c>
      <c r="D83" s="5">
        <v>396700</v>
      </c>
      <c r="E83" s="5" t="s">
        <v>254</v>
      </c>
      <c r="F83" s="5" t="s">
        <v>254</v>
      </c>
      <c r="G83" s="5" t="s">
        <v>255</v>
      </c>
      <c r="I83">
        <f t="shared" si="2"/>
        <v>-0.25848291775951865</v>
      </c>
      <c r="L83" s="22">
        <v>-1.1805002</v>
      </c>
      <c r="N83">
        <f t="shared" si="3"/>
        <v>0.67531054963568016</v>
      </c>
    </row>
    <row r="84" spans="1:14" ht="20" x14ac:dyDescent="0.2">
      <c r="A84" s="21">
        <v>171</v>
      </c>
      <c r="B84" s="4" t="s">
        <v>256</v>
      </c>
      <c r="C84" s="5">
        <v>1.26</v>
      </c>
      <c r="D84" s="5">
        <v>95230</v>
      </c>
      <c r="E84" s="5" t="s">
        <v>257</v>
      </c>
      <c r="F84" s="5" t="s">
        <v>258</v>
      </c>
      <c r="G84" s="5" t="s">
        <v>259</v>
      </c>
      <c r="I84">
        <f t="shared" si="2"/>
        <v>-6.15578929994334E-2</v>
      </c>
      <c r="L84" s="22">
        <v>-1.1680965000000001</v>
      </c>
      <c r="N84">
        <f t="shared" si="3"/>
        <v>0.83540255340242076</v>
      </c>
    </row>
    <row r="85" spans="1:14" ht="20" x14ac:dyDescent="0.2">
      <c r="A85" s="21">
        <v>170</v>
      </c>
      <c r="B85" s="4" t="s">
        <v>260</v>
      </c>
      <c r="C85" s="5">
        <v>1.34</v>
      </c>
      <c r="D85" s="5">
        <v>275941</v>
      </c>
      <c r="E85" s="5" t="s">
        <v>261</v>
      </c>
      <c r="F85" s="5" t="s">
        <v>261</v>
      </c>
      <c r="G85" s="5" t="s">
        <v>248</v>
      </c>
      <c r="I85">
        <f t="shared" si="2"/>
        <v>-3.6634133179780259E-2</v>
      </c>
      <c r="L85" s="22">
        <v>0.53851455999999998</v>
      </c>
      <c r="N85">
        <f t="shared" si="3"/>
        <v>1.031376795385327</v>
      </c>
    </row>
    <row r="86" spans="1:14" ht="20" x14ac:dyDescent="0.2">
      <c r="A86" s="21">
        <v>169</v>
      </c>
      <c r="B86" s="4" t="s">
        <v>262</v>
      </c>
      <c r="C86" s="5">
        <v>1.39</v>
      </c>
      <c r="D86" s="5">
        <v>2477403</v>
      </c>
      <c r="E86" s="5" t="s">
        <v>248</v>
      </c>
      <c r="F86" s="5" t="s">
        <v>263</v>
      </c>
      <c r="G86" s="5" t="s">
        <v>248</v>
      </c>
      <c r="I86">
        <f t="shared" si="2"/>
        <v>0.18954180476744167</v>
      </c>
      <c r="L86" s="22">
        <v>0.17687578000000001</v>
      </c>
      <c r="N86">
        <f t="shared" si="3"/>
        <v>0.96636105608500378</v>
      </c>
    </row>
    <row r="87" spans="1:14" ht="20" x14ac:dyDescent="0.2">
      <c r="A87" s="21">
        <v>168</v>
      </c>
      <c r="B87" s="4" t="s">
        <v>264</v>
      </c>
      <c r="C87" s="5">
        <v>1.1499999999999999</v>
      </c>
      <c r="D87" s="5">
        <v>192625</v>
      </c>
      <c r="E87" s="5" t="s">
        <v>265</v>
      </c>
      <c r="F87" s="5" t="s">
        <v>265</v>
      </c>
      <c r="G87" s="5" t="s">
        <v>266</v>
      </c>
      <c r="I87">
        <f t="shared" si="2"/>
        <v>-0.17504879746487498</v>
      </c>
      <c r="L87" s="22">
        <v>-1.79706E-2</v>
      </c>
      <c r="N87">
        <f t="shared" si="3"/>
        <v>0.95994765161242046</v>
      </c>
    </row>
    <row r="88" spans="1:14" ht="20" x14ac:dyDescent="0.2">
      <c r="A88" s="21">
        <v>167</v>
      </c>
      <c r="B88" s="4" t="s">
        <v>267</v>
      </c>
      <c r="C88" s="5">
        <v>1.37</v>
      </c>
      <c r="D88" s="5">
        <v>140675</v>
      </c>
      <c r="E88" s="5" t="s">
        <v>268</v>
      </c>
      <c r="F88" s="5" t="s">
        <v>269</v>
      </c>
      <c r="G88" s="5" t="s">
        <v>270</v>
      </c>
      <c r="I88">
        <f t="shared" si="2"/>
        <v>-0.10389959501815144</v>
      </c>
      <c r="L88" s="22">
        <v>-0.96777780000000002</v>
      </c>
      <c r="N88">
        <f t="shared" si="3"/>
        <v>0.98408672118455698</v>
      </c>
    </row>
    <row r="89" spans="1:14" ht="20" x14ac:dyDescent="0.2">
      <c r="A89" s="21">
        <v>166</v>
      </c>
      <c r="B89" s="6">
        <v>46002</v>
      </c>
      <c r="C89" s="5">
        <v>1.52</v>
      </c>
      <c r="D89" s="5">
        <v>41904</v>
      </c>
      <c r="E89" s="5" t="s">
        <v>271</v>
      </c>
      <c r="F89" s="5" t="s">
        <v>272</v>
      </c>
      <c r="G89" s="5" t="s">
        <v>268</v>
      </c>
      <c r="I89">
        <f t="shared" si="2"/>
        <v>-3.2365284502031688E-2</v>
      </c>
      <c r="L89" s="22">
        <v>-1.067779</v>
      </c>
      <c r="N89">
        <f t="shared" si="3"/>
        <v>1.1762322884062901</v>
      </c>
    </row>
    <row r="90" spans="1:14" ht="20" x14ac:dyDescent="0.2">
      <c r="A90" s="21">
        <v>165</v>
      </c>
      <c r="B90" s="6">
        <v>45972</v>
      </c>
      <c r="C90" s="5">
        <v>1.57</v>
      </c>
      <c r="D90" s="5">
        <v>37552</v>
      </c>
      <c r="E90" s="5" t="s">
        <v>273</v>
      </c>
      <c r="F90" s="5" t="s">
        <v>274</v>
      </c>
      <c r="G90" s="5" t="s">
        <v>271</v>
      </c>
      <c r="I90">
        <f t="shared" si="2"/>
        <v>-6.3492276786587531E-3</v>
      </c>
      <c r="L90" s="22">
        <v>0.14206473999999999</v>
      </c>
      <c r="N90">
        <f t="shared" si="3"/>
        <v>1.4288039320792563</v>
      </c>
    </row>
    <row r="91" spans="1:14" ht="20" x14ac:dyDescent="0.2">
      <c r="A91" s="21">
        <v>164</v>
      </c>
      <c r="B91" s="6">
        <v>45941</v>
      </c>
      <c r="C91" s="5">
        <v>1.58</v>
      </c>
      <c r="D91" s="5">
        <v>148910</v>
      </c>
      <c r="E91" s="5" t="s">
        <v>275</v>
      </c>
      <c r="F91" s="5" t="s">
        <v>276</v>
      </c>
      <c r="G91" s="5" t="s">
        <v>277</v>
      </c>
      <c r="I91">
        <f t="shared" si="2"/>
        <v>-4.9392755329576377E-2</v>
      </c>
      <c r="L91" s="22">
        <v>-0.91304890000000005</v>
      </c>
      <c r="N91">
        <f t="shared" si="3"/>
        <v>1.4273300479827273</v>
      </c>
    </row>
    <row r="92" spans="1:14" ht="20" x14ac:dyDescent="0.2">
      <c r="A92" s="21">
        <v>163</v>
      </c>
      <c r="B92" s="6">
        <v>45849</v>
      </c>
      <c r="C92" s="5">
        <v>1.66</v>
      </c>
      <c r="D92" s="5">
        <v>119430</v>
      </c>
      <c r="E92" s="5" t="s">
        <v>278</v>
      </c>
      <c r="F92" s="5" t="s">
        <v>279</v>
      </c>
      <c r="G92" s="5" t="s">
        <v>280</v>
      </c>
      <c r="I92">
        <f t="shared" si="2"/>
        <v>-2.3810648693718517E-2</v>
      </c>
      <c r="L92" s="22">
        <v>0.98859927999999997</v>
      </c>
      <c r="N92">
        <f t="shared" si="3"/>
        <v>1.6909949579350303</v>
      </c>
    </row>
    <row r="93" spans="1:14" ht="20" x14ac:dyDescent="0.2">
      <c r="A93" s="21">
        <v>162</v>
      </c>
      <c r="B93" s="6">
        <v>45819</v>
      </c>
      <c r="C93" s="5">
        <v>1.7</v>
      </c>
      <c r="D93" s="5">
        <v>33506</v>
      </c>
      <c r="E93" s="5" t="s">
        <v>276</v>
      </c>
      <c r="F93" s="5" t="s">
        <v>281</v>
      </c>
      <c r="G93" s="5" t="s">
        <v>282</v>
      </c>
      <c r="I93">
        <f t="shared" si="2"/>
        <v>-3.4685557987890081E-2</v>
      </c>
      <c r="L93" s="22">
        <v>1.1308735999999999</v>
      </c>
      <c r="N93">
        <f t="shared" si="3"/>
        <v>1.4732269086701935</v>
      </c>
    </row>
    <row r="94" spans="1:14" ht="20" x14ac:dyDescent="0.2">
      <c r="A94" s="21">
        <v>161</v>
      </c>
      <c r="B94" s="6">
        <v>45788</v>
      </c>
      <c r="C94" s="5">
        <v>1.76</v>
      </c>
      <c r="D94" s="5">
        <v>70929</v>
      </c>
      <c r="E94" s="5" t="s">
        <v>283</v>
      </c>
      <c r="F94" s="5" t="s">
        <v>284</v>
      </c>
      <c r="G94" s="5" t="s">
        <v>285</v>
      </c>
      <c r="I94">
        <f t="shared" si="2"/>
        <v>1.1428695823622825E-2</v>
      </c>
      <c r="L94" s="22">
        <v>0.10163527</v>
      </c>
      <c r="N94">
        <f t="shared" si="3"/>
        <v>1.2543239049479962</v>
      </c>
    </row>
    <row r="95" spans="1:14" ht="20" x14ac:dyDescent="0.2">
      <c r="A95" s="21">
        <v>160</v>
      </c>
      <c r="B95" s="6">
        <v>45758</v>
      </c>
      <c r="C95" s="5">
        <v>1.74</v>
      </c>
      <c r="D95" s="5">
        <v>90134</v>
      </c>
      <c r="E95" s="5" t="s">
        <v>286</v>
      </c>
      <c r="F95" s="5" t="s">
        <v>287</v>
      </c>
      <c r="G95" s="5" t="s">
        <v>288</v>
      </c>
      <c r="I95">
        <f t="shared" si="2"/>
        <v>-9.3218128832100788E-2</v>
      </c>
      <c r="L95" s="22">
        <v>1.5962437199999999</v>
      </c>
      <c r="N95">
        <f t="shared" si="3"/>
        <v>1.2612451545946857</v>
      </c>
    </row>
    <row r="96" spans="1:14" ht="20" x14ac:dyDescent="0.2">
      <c r="A96" s="21">
        <v>159</v>
      </c>
      <c r="B96" s="6">
        <v>45727</v>
      </c>
      <c r="C96" s="5">
        <v>1.91</v>
      </c>
      <c r="D96" s="5">
        <v>66945</v>
      </c>
      <c r="E96" s="5" t="s">
        <v>289</v>
      </c>
      <c r="F96" s="5" t="s">
        <v>290</v>
      </c>
      <c r="G96" s="5" t="s">
        <v>291</v>
      </c>
      <c r="I96">
        <f t="shared" si="2"/>
        <v>-5.2219439811517221E-3</v>
      </c>
      <c r="L96" s="22">
        <v>0.89863402000000003</v>
      </c>
      <c r="N96">
        <f t="shared" si="3"/>
        <v>0.99602867073929369</v>
      </c>
    </row>
    <row r="97" spans="1:14" ht="20" x14ac:dyDescent="0.2">
      <c r="A97" s="21">
        <v>158</v>
      </c>
      <c r="B97" s="4" t="s">
        <v>292</v>
      </c>
      <c r="C97" s="5">
        <v>1.92</v>
      </c>
      <c r="D97" s="5">
        <v>44661</v>
      </c>
      <c r="E97" s="5" t="s">
        <v>289</v>
      </c>
      <c r="F97" s="5" t="s">
        <v>293</v>
      </c>
      <c r="G97" s="5" t="s">
        <v>263</v>
      </c>
      <c r="I97">
        <f t="shared" si="2"/>
        <v>-1.0362787035546606E-2</v>
      </c>
      <c r="L97" s="22">
        <v>-0.46792080000000003</v>
      </c>
      <c r="N97">
        <f t="shared" si="3"/>
        <v>0.88046984898069114</v>
      </c>
    </row>
    <row r="98" spans="1:14" ht="20" x14ac:dyDescent="0.2">
      <c r="A98" s="21">
        <v>157</v>
      </c>
      <c r="B98" s="4" t="s">
        <v>294</v>
      </c>
      <c r="C98" s="5">
        <v>1.94</v>
      </c>
      <c r="D98" s="5">
        <v>122177</v>
      </c>
      <c r="E98" s="5" t="s">
        <v>295</v>
      </c>
      <c r="F98" s="5" t="s">
        <v>296</v>
      </c>
      <c r="G98" s="5" t="s">
        <v>297</v>
      </c>
      <c r="I98">
        <f t="shared" si="2"/>
        <v>-3.0459207484708539E-2</v>
      </c>
      <c r="L98" s="22">
        <v>0.73163767999999996</v>
      </c>
      <c r="N98">
        <f t="shared" si="3"/>
        <v>0.97070127551908036</v>
      </c>
    </row>
    <row r="99" spans="1:14" ht="20" x14ac:dyDescent="0.2">
      <c r="A99" s="21">
        <v>156</v>
      </c>
      <c r="B99" s="4" t="s">
        <v>298</v>
      </c>
      <c r="C99" s="5">
        <v>2</v>
      </c>
      <c r="D99" s="5">
        <v>28687</v>
      </c>
      <c r="E99" s="5" t="s">
        <v>299</v>
      </c>
      <c r="F99" s="5" t="s">
        <v>300</v>
      </c>
      <c r="G99" s="5" t="s">
        <v>301</v>
      </c>
      <c r="I99">
        <f t="shared" si="2"/>
        <v>-3.4401426717332373E-2</v>
      </c>
      <c r="L99" s="22">
        <v>-0.742336</v>
      </c>
      <c r="N99">
        <f t="shared" si="3"/>
        <v>0.88155810303261117</v>
      </c>
    </row>
    <row r="100" spans="1:14" ht="20" x14ac:dyDescent="0.2">
      <c r="A100" s="21">
        <v>155</v>
      </c>
      <c r="B100" s="4" t="s">
        <v>302</v>
      </c>
      <c r="C100" s="5">
        <v>2.0699999999999998</v>
      </c>
      <c r="D100" s="5">
        <v>94424</v>
      </c>
      <c r="E100" s="5" t="s">
        <v>303</v>
      </c>
      <c r="F100" s="5" t="s">
        <v>300</v>
      </c>
      <c r="G100" s="5" t="s">
        <v>304</v>
      </c>
      <c r="I100">
        <f t="shared" si="2"/>
        <v>1.9512814223581754E-2</v>
      </c>
      <c r="L100" s="22">
        <v>-0.31517260000000002</v>
      </c>
      <c r="N100">
        <f t="shared" si="3"/>
        <v>1.0159802381004428</v>
      </c>
    </row>
    <row r="101" spans="1:14" ht="20" x14ac:dyDescent="0.2">
      <c r="A101" s="21">
        <v>154</v>
      </c>
      <c r="B101" s="4" t="s">
        <v>305</v>
      </c>
      <c r="C101" s="5">
        <v>2.0299999999999998</v>
      </c>
      <c r="D101" s="5">
        <v>69814</v>
      </c>
      <c r="E101" s="5" t="s">
        <v>299</v>
      </c>
      <c r="F101" s="5" t="s">
        <v>306</v>
      </c>
      <c r="G101" s="5" t="s">
        <v>307</v>
      </c>
      <c r="I101">
        <f t="shared" si="2"/>
        <v>-1.9512814223581754E-2</v>
      </c>
      <c r="L101" s="22">
        <v>0.33154333000000002</v>
      </c>
      <c r="N101">
        <f t="shared" si="3"/>
        <v>1.0927828248717468</v>
      </c>
    </row>
    <row r="102" spans="1:14" ht="20" x14ac:dyDescent="0.2">
      <c r="A102" s="21">
        <v>153</v>
      </c>
      <c r="B102" s="4" t="s">
        <v>308</v>
      </c>
      <c r="C102" s="5">
        <v>2.0699999999999998</v>
      </c>
      <c r="D102" s="5">
        <v>76674</v>
      </c>
      <c r="E102" s="5" t="s">
        <v>309</v>
      </c>
      <c r="F102" s="5" t="s">
        <v>309</v>
      </c>
      <c r="G102" s="5" t="s">
        <v>310</v>
      </c>
      <c r="I102">
        <f t="shared" si="2"/>
        <v>-5.1776269523720053E-2</v>
      </c>
      <c r="L102" s="22">
        <v>1.6484402300000001</v>
      </c>
      <c r="N102">
        <f t="shared" si="3"/>
        <v>1.0587288472043299</v>
      </c>
    </row>
    <row r="103" spans="1:14" ht="20" x14ac:dyDescent="0.2">
      <c r="A103" s="21">
        <v>152</v>
      </c>
      <c r="B103" s="4" t="s">
        <v>311</v>
      </c>
      <c r="C103" s="5">
        <v>2.1800000000000002</v>
      </c>
      <c r="D103" s="5">
        <v>117756</v>
      </c>
      <c r="E103" s="5" t="s">
        <v>300</v>
      </c>
      <c r="F103" s="5" t="s">
        <v>312</v>
      </c>
      <c r="G103" s="5" t="s">
        <v>313</v>
      </c>
      <c r="I103">
        <f t="shared" si="2"/>
        <v>1.3857034661426293E-2</v>
      </c>
      <c r="L103" s="22">
        <v>-2.8899493000000001</v>
      </c>
      <c r="N103">
        <f t="shared" si="3"/>
        <v>0.82907347592306113</v>
      </c>
    </row>
    <row r="104" spans="1:14" ht="20" x14ac:dyDescent="0.2">
      <c r="A104" s="21">
        <v>151</v>
      </c>
      <c r="B104" s="4" t="s">
        <v>314</v>
      </c>
      <c r="C104" s="5">
        <v>2.15</v>
      </c>
      <c r="D104" s="5">
        <v>63687</v>
      </c>
      <c r="E104" s="5" t="s">
        <v>315</v>
      </c>
      <c r="F104" s="5" t="s">
        <v>316</v>
      </c>
      <c r="G104" s="5" t="s">
        <v>317</v>
      </c>
      <c r="I104">
        <f t="shared" si="2"/>
        <v>-4.1008023727377108E-2</v>
      </c>
      <c r="L104" s="22">
        <v>6.2E-4</v>
      </c>
      <c r="N104">
        <f t="shared" si="3"/>
        <v>1.3520227587839029</v>
      </c>
    </row>
    <row r="105" spans="1:14" ht="20" x14ac:dyDescent="0.2">
      <c r="A105" s="21">
        <v>150</v>
      </c>
      <c r="B105" s="4" t="s">
        <v>318</v>
      </c>
      <c r="C105" s="5">
        <v>2.2400000000000002</v>
      </c>
      <c r="D105" s="5">
        <v>38221</v>
      </c>
      <c r="E105" s="5" t="s">
        <v>319</v>
      </c>
      <c r="F105" s="5" t="s">
        <v>320</v>
      </c>
      <c r="G105" s="5" t="s">
        <v>319</v>
      </c>
      <c r="I105">
        <f t="shared" si="2"/>
        <v>1.801850550267825E-2</v>
      </c>
      <c r="L105" s="22">
        <v>-1.3602189</v>
      </c>
      <c r="N105">
        <f t="shared" si="3"/>
        <v>1.3818624426526382</v>
      </c>
    </row>
    <row r="106" spans="1:14" ht="20" x14ac:dyDescent="0.2">
      <c r="A106" s="21">
        <v>149</v>
      </c>
      <c r="B106" s="4" t="s">
        <v>321</v>
      </c>
      <c r="C106" s="5">
        <v>2.2000000000000002</v>
      </c>
      <c r="D106" s="5">
        <v>84277</v>
      </c>
      <c r="E106" s="5" t="s">
        <v>322</v>
      </c>
      <c r="F106" s="5" t="s">
        <v>323</v>
      </c>
      <c r="G106" s="5" t="s">
        <v>319</v>
      </c>
      <c r="I106">
        <f t="shared" si="2"/>
        <v>6.8415318167167616E-3</v>
      </c>
      <c r="L106" s="22">
        <v>-1.8237989999999999</v>
      </c>
      <c r="N106">
        <f t="shared" si="3"/>
        <v>1.7598386256940206</v>
      </c>
    </row>
    <row r="107" spans="1:14" ht="20" x14ac:dyDescent="0.2">
      <c r="A107" s="21">
        <v>148</v>
      </c>
      <c r="B107" s="4" t="s">
        <v>324</v>
      </c>
      <c r="C107" s="5">
        <v>2.1850000000000001</v>
      </c>
      <c r="D107" s="5">
        <v>160967</v>
      </c>
      <c r="E107" s="5" t="s">
        <v>325</v>
      </c>
      <c r="F107" s="5" t="s">
        <v>326</v>
      </c>
      <c r="G107" s="5" t="s">
        <v>327</v>
      </c>
      <c r="I107">
        <f t="shared" si="2"/>
        <v>-0.11447219600908221</v>
      </c>
      <c r="L107" s="22">
        <v>-0.98760769999999998</v>
      </c>
      <c r="N107">
        <f t="shared" si="3"/>
        <v>2.415588484450153</v>
      </c>
    </row>
    <row r="108" spans="1:14" ht="20" x14ac:dyDescent="0.2">
      <c r="A108" s="21">
        <v>147</v>
      </c>
      <c r="B108" s="4" t="s">
        <v>328</v>
      </c>
      <c r="C108" s="5">
        <v>2.4500000000000002</v>
      </c>
      <c r="D108" s="5">
        <v>462444</v>
      </c>
      <c r="E108" s="5" t="s">
        <v>329</v>
      </c>
      <c r="F108" s="5" t="s">
        <v>330</v>
      </c>
      <c r="G108" s="5" t="s">
        <v>331</v>
      </c>
      <c r="I108">
        <f t="shared" si="2"/>
        <v>-0.20585205420414854</v>
      </c>
      <c r="L108" s="22">
        <v>-1.1134067000000001</v>
      </c>
      <c r="N108">
        <f t="shared" si="3"/>
        <v>2.8965076598160424</v>
      </c>
    </row>
    <row r="109" spans="1:14" ht="20" x14ac:dyDescent="0.2">
      <c r="A109" s="21">
        <v>146</v>
      </c>
      <c r="B109" s="4" t="s">
        <v>332</v>
      </c>
      <c r="C109" s="5">
        <v>3.01</v>
      </c>
      <c r="D109" s="5">
        <v>213200</v>
      </c>
      <c r="E109" s="5" t="s">
        <v>333</v>
      </c>
      <c r="F109" s="5" t="s">
        <v>334</v>
      </c>
      <c r="G109" s="5" t="s">
        <v>335</v>
      </c>
      <c r="I109">
        <f t="shared" si="2"/>
        <v>3.3277900926744763E-3</v>
      </c>
      <c r="L109" s="22">
        <v>0.97752724999999996</v>
      </c>
      <c r="N109">
        <f t="shared" si="3"/>
        <v>3.544517808003417</v>
      </c>
    </row>
    <row r="110" spans="1:14" ht="20" x14ac:dyDescent="0.2">
      <c r="A110" s="21">
        <v>145</v>
      </c>
      <c r="B110" s="4" t="s">
        <v>336</v>
      </c>
      <c r="C110" s="5">
        <v>3</v>
      </c>
      <c r="D110" s="5">
        <v>408106</v>
      </c>
      <c r="E110" s="5" t="s">
        <v>337</v>
      </c>
      <c r="F110" s="5" t="s">
        <v>338</v>
      </c>
      <c r="G110" s="5" t="s">
        <v>339</v>
      </c>
      <c r="I110">
        <f t="shared" si="2"/>
        <v>0.11653381625595161</v>
      </c>
      <c r="L110" s="22">
        <v>-0.49585430000000003</v>
      </c>
      <c r="N110">
        <f t="shared" si="3"/>
        <v>3.0935826210626982</v>
      </c>
    </row>
    <row r="111" spans="1:14" ht="20" x14ac:dyDescent="0.2">
      <c r="A111" s="21">
        <v>144</v>
      </c>
      <c r="B111" s="4" t="s">
        <v>340</v>
      </c>
      <c r="C111" s="5">
        <v>2.67</v>
      </c>
      <c r="D111" s="5">
        <v>142213</v>
      </c>
      <c r="E111" s="5" t="s">
        <v>341</v>
      </c>
      <c r="F111" s="5" t="s">
        <v>342</v>
      </c>
      <c r="G111" s="5" t="s">
        <v>343</v>
      </c>
      <c r="I111">
        <f t="shared" si="2"/>
        <v>9.8310932243563132E-2</v>
      </c>
      <c r="L111" s="22">
        <v>-9.6618999999999993E-3</v>
      </c>
      <c r="N111">
        <f t="shared" si="3"/>
        <v>3.426049926738481</v>
      </c>
    </row>
    <row r="112" spans="1:14" ht="20" x14ac:dyDescent="0.2">
      <c r="A112" s="21">
        <v>143</v>
      </c>
      <c r="B112" s="6">
        <v>45940</v>
      </c>
      <c r="C112" s="5">
        <v>2.42</v>
      </c>
      <c r="D112" s="5">
        <v>133636</v>
      </c>
      <c r="E112" s="5" t="s">
        <v>344</v>
      </c>
      <c r="F112" s="5" t="s">
        <v>345</v>
      </c>
      <c r="G112" s="5" t="s">
        <v>346</v>
      </c>
      <c r="I112">
        <f t="shared" si="2"/>
        <v>-8.2304991365154123E-3</v>
      </c>
      <c r="L112" s="22">
        <v>-3.7622599999999999E-2</v>
      </c>
      <c r="N112">
        <f t="shared" si="3"/>
        <v>3.507488536901727</v>
      </c>
    </row>
    <row r="113" spans="1:14" ht="20" x14ac:dyDescent="0.2">
      <c r="A113" s="21">
        <v>142</v>
      </c>
      <c r="B113" s="6">
        <v>45910</v>
      </c>
      <c r="C113" s="5">
        <v>2.44</v>
      </c>
      <c r="D113" s="5">
        <v>127224</v>
      </c>
      <c r="E113" s="5" t="s">
        <v>347</v>
      </c>
      <c r="F113" s="5" t="s">
        <v>348</v>
      </c>
      <c r="G113" s="5" t="s">
        <v>349</v>
      </c>
      <c r="I113">
        <f t="shared" si="2"/>
        <v>-7.4985806884562689E-2</v>
      </c>
      <c r="L113" s="22">
        <v>0.11945205</v>
      </c>
      <c r="N113">
        <f t="shared" si="3"/>
        <v>3.6071283759887631</v>
      </c>
    </row>
    <row r="114" spans="1:14" ht="20" x14ac:dyDescent="0.2">
      <c r="A114" s="21">
        <v>141</v>
      </c>
      <c r="B114" s="6">
        <v>45879</v>
      </c>
      <c r="C114" s="5">
        <v>2.63</v>
      </c>
      <c r="D114" s="5">
        <v>122718</v>
      </c>
      <c r="E114" s="5" t="s">
        <v>350</v>
      </c>
      <c r="F114" s="5" t="s">
        <v>351</v>
      </c>
      <c r="G114" s="5" t="s">
        <v>352</v>
      </c>
      <c r="I114">
        <f t="shared" si="2"/>
        <v>-5.1863474009574029E-2</v>
      </c>
      <c r="L114" s="22">
        <v>0.11353669</v>
      </c>
      <c r="N114">
        <f t="shared" si="3"/>
        <v>3.6166020210896477</v>
      </c>
    </row>
    <row r="115" spans="1:14" ht="20" x14ac:dyDescent="0.2">
      <c r="A115" s="21">
        <v>140</v>
      </c>
      <c r="B115" s="6">
        <v>45848</v>
      </c>
      <c r="C115" s="5">
        <v>2.77</v>
      </c>
      <c r="D115" s="5">
        <v>167052</v>
      </c>
      <c r="E115" s="5" t="s">
        <v>353</v>
      </c>
      <c r="F115" s="5" t="s">
        <v>353</v>
      </c>
      <c r="G115" s="5" t="s">
        <v>354</v>
      </c>
      <c r="I115">
        <f t="shared" si="2"/>
        <v>-2.8471674081312015E-2</v>
      </c>
      <c r="L115" s="22">
        <v>0.39860969000000002</v>
      </c>
      <c r="N115">
        <f t="shared" si="3"/>
        <v>3.6295692317882495</v>
      </c>
    </row>
    <row r="116" spans="1:14" ht="20" x14ac:dyDescent="0.2">
      <c r="A116" s="21">
        <v>139</v>
      </c>
      <c r="B116" s="6">
        <v>45818</v>
      </c>
      <c r="C116" s="5">
        <v>2.85</v>
      </c>
      <c r="D116" s="5">
        <v>534093</v>
      </c>
      <c r="E116" s="5" t="s">
        <v>355</v>
      </c>
      <c r="F116" s="5" t="s">
        <v>356</v>
      </c>
      <c r="G116" s="5" t="s">
        <v>357</v>
      </c>
      <c r="I116">
        <f t="shared" si="2"/>
        <v>-1.7391742711869052E-2</v>
      </c>
      <c r="L116" s="22">
        <v>-2.0250031000000002</v>
      </c>
      <c r="N116">
        <f t="shared" si="3"/>
        <v>3.4785487403386681</v>
      </c>
    </row>
    <row r="117" spans="1:14" ht="20" x14ac:dyDescent="0.2">
      <c r="A117" s="21">
        <v>138</v>
      </c>
      <c r="B117" s="6">
        <v>45726</v>
      </c>
      <c r="C117" s="5">
        <v>2.9</v>
      </c>
      <c r="D117" s="5">
        <v>266501</v>
      </c>
      <c r="E117" s="5" t="s">
        <v>358</v>
      </c>
      <c r="F117" s="5" t="s">
        <v>359</v>
      </c>
      <c r="G117" s="5" t="s">
        <v>360</v>
      </c>
      <c r="I117">
        <f t="shared" si="2"/>
        <v>0.11305286128098191</v>
      </c>
      <c r="L117" s="22">
        <v>-0.95479369999999997</v>
      </c>
      <c r="N117">
        <f t="shared" si="3"/>
        <v>4.9325578017079721</v>
      </c>
    </row>
    <row r="118" spans="1:14" ht="20" x14ac:dyDescent="0.2">
      <c r="A118" s="21">
        <v>137</v>
      </c>
      <c r="B118" s="6">
        <v>45698</v>
      </c>
      <c r="C118" s="5">
        <v>2.59</v>
      </c>
      <c r="D118" s="5">
        <v>122909</v>
      </c>
      <c r="E118" s="5" t="s">
        <v>361</v>
      </c>
      <c r="F118" s="5" t="s">
        <v>348</v>
      </c>
      <c r="G118" s="5" t="s">
        <v>331</v>
      </c>
      <c r="I118">
        <f t="shared" si="2"/>
        <v>6.3766618358989224E-2</v>
      </c>
      <c r="L118" s="22">
        <v>-0.76954979999999995</v>
      </c>
      <c r="N118">
        <f t="shared" si="3"/>
        <v>5.883292755525833</v>
      </c>
    </row>
    <row r="119" spans="1:14" ht="20" x14ac:dyDescent="0.2">
      <c r="A119" s="21">
        <v>136</v>
      </c>
      <c r="B119" s="6">
        <v>45667</v>
      </c>
      <c r="C119" s="5">
        <v>2.4300000000000002</v>
      </c>
      <c r="D119" s="5">
        <v>92056</v>
      </c>
      <c r="E119" s="5" t="s">
        <v>325</v>
      </c>
      <c r="F119" s="5" t="s">
        <v>362</v>
      </c>
      <c r="G119" s="5" t="s">
        <v>363</v>
      </c>
      <c r="I119">
        <f t="shared" si="2"/>
        <v>4.1237171838620634E-3</v>
      </c>
      <c r="L119" s="22">
        <v>-1.4455613</v>
      </c>
      <c r="N119">
        <f t="shared" si="3"/>
        <v>6.810282286975041</v>
      </c>
    </row>
    <row r="120" spans="1:14" ht="20" x14ac:dyDescent="0.2">
      <c r="A120" s="21">
        <v>135</v>
      </c>
      <c r="B120" s="4" t="s">
        <v>364</v>
      </c>
      <c r="C120" s="5">
        <v>2.42</v>
      </c>
      <c r="D120" s="5">
        <v>57166</v>
      </c>
      <c r="E120" s="5" t="s">
        <v>365</v>
      </c>
      <c r="F120" s="5" t="s">
        <v>366</v>
      </c>
      <c r="G120" s="5" t="s">
        <v>325</v>
      </c>
      <c r="I120">
        <f t="shared" si="2"/>
        <v>-3.6515212975097411E-2</v>
      </c>
      <c r="L120" s="22">
        <v>0.84171315999999996</v>
      </c>
      <c r="N120">
        <f t="shared" si="3"/>
        <v>8.7935442296012951</v>
      </c>
    </row>
    <row r="121" spans="1:14" ht="20" x14ac:dyDescent="0.2">
      <c r="A121" s="21">
        <v>134</v>
      </c>
      <c r="B121" s="4" t="s">
        <v>367</v>
      </c>
      <c r="C121" s="5">
        <v>2.5099999999999998</v>
      </c>
      <c r="D121" s="5">
        <v>310905</v>
      </c>
      <c r="E121" s="5" t="s">
        <v>347</v>
      </c>
      <c r="F121" s="5" t="s">
        <v>339</v>
      </c>
      <c r="G121" s="5" t="s">
        <v>368</v>
      </c>
      <c r="I121">
        <f t="shared" si="2"/>
        <v>-2.7506645789833639E-2</v>
      </c>
      <c r="L121" s="22">
        <v>-0.40577590000000002</v>
      </c>
      <c r="N121">
        <f t="shared" si="3"/>
        <v>7.8451687891269533</v>
      </c>
    </row>
    <row r="122" spans="1:14" ht="20" x14ac:dyDescent="0.2">
      <c r="A122" s="21">
        <v>133</v>
      </c>
      <c r="B122" s="4" t="s">
        <v>369</v>
      </c>
      <c r="C122" s="5">
        <v>2.58</v>
      </c>
      <c r="D122" s="5">
        <v>184194</v>
      </c>
      <c r="E122" s="5" t="s">
        <v>326</v>
      </c>
      <c r="F122" s="5" t="s">
        <v>370</v>
      </c>
      <c r="G122" s="5" t="s">
        <v>326</v>
      </c>
      <c r="I122">
        <f t="shared" si="2"/>
        <v>6.8162651430962451E-2</v>
      </c>
      <c r="L122" s="22">
        <v>1.5270655900000001</v>
      </c>
      <c r="N122">
        <f t="shared" si="3"/>
        <v>8.5627053397626067</v>
      </c>
    </row>
    <row r="123" spans="1:14" ht="20" x14ac:dyDescent="0.2">
      <c r="A123" s="21">
        <v>132</v>
      </c>
      <c r="B123" s="4" t="s">
        <v>371</v>
      </c>
      <c r="C123" s="5">
        <v>2.41</v>
      </c>
      <c r="D123" s="5">
        <v>119963</v>
      </c>
      <c r="E123" s="5" t="s">
        <v>372</v>
      </c>
      <c r="F123" s="5" t="s">
        <v>373</v>
      </c>
      <c r="G123" s="5" t="s">
        <v>349</v>
      </c>
      <c r="I123">
        <f t="shared" si="2"/>
        <v>4.6717624567459759E-2</v>
      </c>
      <c r="L123" s="22">
        <v>1.91867506</v>
      </c>
      <c r="N123">
        <f t="shared" si="3"/>
        <v>6.8381629639454964</v>
      </c>
    </row>
    <row r="124" spans="1:14" ht="20" x14ac:dyDescent="0.2">
      <c r="A124" s="21">
        <v>131</v>
      </c>
      <c r="B124" s="4" t="s">
        <v>374</v>
      </c>
      <c r="C124" s="5">
        <v>2.2999999999999998</v>
      </c>
      <c r="D124" s="5">
        <v>128669</v>
      </c>
      <c r="E124" s="5" t="s">
        <v>375</v>
      </c>
      <c r="F124" s="5" t="s">
        <v>376</v>
      </c>
      <c r="G124" s="5" t="s">
        <v>316</v>
      </c>
      <c r="I124">
        <f t="shared" si="2"/>
        <v>-1.7241806434506124E-2</v>
      </c>
      <c r="L124" s="22">
        <v>-1.2538863</v>
      </c>
      <c r="N124">
        <f t="shared" si="3"/>
        <v>5.1259924824595231</v>
      </c>
    </row>
    <row r="125" spans="1:14" ht="20" x14ac:dyDescent="0.2">
      <c r="A125" s="21">
        <v>130</v>
      </c>
      <c r="B125" s="4" t="s">
        <v>377</v>
      </c>
      <c r="C125" s="5">
        <v>2.34</v>
      </c>
      <c r="D125" s="5">
        <v>89662</v>
      </c>
      <c r="E125" s="5" t="s">
        <v>346</v>
      </c>
      <c r="F125" s="5" t="s">
        <v>378</v>
      </c>
      <c r="G125" s="5" t="s">
        <v>349</v>
      </c>
      <c r="I125">
        <f t="shared" si="2"/>
        <v>-5.0010420574661429E-2</v>
      </c>
      <c r="L125" s="22">
        <v>0.41523330000000003</v>
      </c>
      <c r="N125">
        <f t="shared" si="3"/>
        <v>6.4168477535464712</v>
      </c>
    </row>
    <row r="126" spans="1:14" ht="20" x14ac:dyDescent="0.2">
      <c r="A126" s="21">
        <v>129</v>
      </c>
      <c r="B126" s="4" t="s">
        <v>379</v>
      </c>
      <c r="C126" s="5">
        <v>2.46</v>
      </c>
      <c r="D126" s="5">
        <v>291523</v>
      </c>
      <c r="E126" s="5" t="s">
        <v>380</v>
      </c>
      <c r="F126" s="5" t="s">
        <v>381</v>
      </c>
      <c r="G126" s="5" t="s">
        <v>380</v>
      </c>
      <c r="I126">
        <f t="shared" si="2"/>
        <v>7.5985906977922069E-2</v>
      </c>
      <c r="L126" s="22">
        <v>1.3036474499999999</v>
      </c>
      <c r="N126">
        <f t="shared" si="3"/>
        <v>6.1333508827961332</v>
      </c>
    </row>
    <row r="127" spans="1:14" ht="20" x14ac:dyDescent="0.2">
      <c r="A127" s="21">
        <v>128</v>
      </c>
      <c r="B127" s="4" t="s">
        <v>382</v>
      </c>
      <c r="C127" s="5">
        <v>2.2799999999999998</v>
      </c>
      <c r="D127" s="5">
        <v>58166</v>
      </c>
      <c r="E127" s="5" t="s">
        <v>312</v>
      </c>
      <c r="F127" s="5" t="s">
        <v>383</v>
      </c>
      <c r="G127" s="5" t="s">
        <v>384</v>
      </c>
      <c r="I127">
        <f t="shared" si="2"/>
        <v>-2.5975486403260639E-2</v>
      </c>
      <c r="L127" s="22">
        <v>-4.2434699999999999E-2</v>
      </c>
      <c r="N127">
        <f t="shared" si="3"/>
        <v>5.0781977538633134</v>
      </c>
    </row>
    <row r="128" spans="1:14" ht="20" x14ac:dyDescent="0.2">
      <c r="A128" s="21">
        <v>127</v>
      </c>
      <c r="B128" s="4" t="s">
        <v>385</v>
      </c>
      <c r="C128" s="5">
        <v>2.34</v>
      </c>
      <c r="D128" s="5">
        <v>159995</v>
      </c>
      <c r="E128" s="5" t="s">
        <v>386</v>
      </c>
      <c r="F128" s="5" t="s">
        <v>376</v>
      </c>
      <c r="G128" s="5" t="s">
        <v>316</v>
      </c>
      <c r="I128">
        <f t="shared" si="2"/>
        <v>-8.5106896679086885E-3</v>
      </c>
      <c r="L128" s="22">
        <v>0.19396213000000001</v>
      </c>
      <c r="N128">
        <f t="shared" si="3"/>
        <v>5.2265215337729174</v>
      </c>
    </row>
    <row r="129" spans="1:14" ht="20" x14ac:dyDescent="0.2">
      <c r="A129" s="21">
        <v>126</v>
      </c>
      <c r="B129" s="4" t="s">
        <v>387</v>
      </c>
      <c r="C129" s="5">
        <v>2.36</v>
      </c>
      <c r="D129" s="5">
        <v>121944</v>
      </c>
      <c r="E129" s="5" t="s">
        <v>375</v>
      </c>
      <c r="F129" s="5" t="s">
        <v>361</v>
      </c>
      <c r="G129" s="5" t="s">
        <v>375</v>
      </c>
      <c r="I129">
        <f t="shared" si="2"/>
        <v>0</v>
      </c>
      <c r="L129" s="22">
        <v>-0.78117899999999996</v>
      </c>
      <c r="N129">
        <f t="shared" si="3"/>
        <v>5.1775161127925564</v>
      </c>
    </row>
    <row r="130" spans="1:14" ht="20" x14ac:dyDescent="0.2">
      <c r="A130" s="21">
        <v>125</v>
      </c>
      <c r="B130" s="4" t="s">
        <v>388</v>
      </c>
      <c r="C130" s="5">
        <v>2.36</v>
      </c>
      <c r="D130" s="5">
        <v>130238</v>
      </c>
      <c r="E130" s="5" t="s">
        <v>389</v>
      </c>
      <c r="F130" s="5" t="s">
        <v>390</v>
      </c>
      <c r="G130" s="5" t="s">
        <v>316</v>
      </c>
      <c r="I130">
        <f t="shared" si="2"/>
        <v>3.0109801471370434E-2</v>
      </c>
      <c r="L130" s="22">
        <v>1.13143774</v>
      </c>
      <c r="N130">
        <f t="shared" si="3"/>
        <v>6.0045774620413592</v>
      </c>
    </row>
    <row r="131" spans="1:14" ht="20" x14ac:dyDescent="0.2">
      <c r="A131" s="21">
        <v>124</v>
      </c>
      <c r="B131" s="4" t="s">
        <v>391</v>
      </c>
      <c r="C131" s="5">
        <v>2.29</v>
      </c>
      <c r="D131" s="5">
        <v>131268</v>
      </c>
      <c r="E131" s="5" t="s">
        <v>392</v>
      </c>
      <c r="F131" s="5" t="s">
        <v>393</v>
      </c>
      <c r="G131" s="5" t="s">
        <v>392</v>
      </c>
      <c r="I131">
        <f t="shared" si="2"/>
        <v>6.3083975426576844E-2</v>
      </c>
      <c r="L131" s="22">
        <v>-0.84896179999999999</v>
      </c>
      <c r="N131">
        <f t="shared" si="3"/>
        <v>5.1119065641940864</v>
      </c>
    </row>
    <row r="132" spans="1:14" ht="20" x14ac:dyDescent="0.2">
      <c r="A132" s="21">
        <v>123</v>
      </c>
      <c r="B132" s="6">
        <v>46000</v>
      </c>
      <c r="C132" s="5">
        <v>2.15</v>
      </c>
      <c r="D132" s="5">
        <v>133969</v>
      </c>
      <c r="E132" s="5" t="s">
        <v>299</v>
      </c>
      <c r="F132" s="5" t="s">
        <v>315</v>
      </c>
      <c r="G132" s="5" t="s">
        <v>394</v>
      </c>
      <c r="I132">
        <f t="shared" si="2"/>
        <v>2.3530497410194084E-2</v>
      </c>
      <c r="L132" s="22">
        <v>-0.27989819999999999</v>
      </c>
      <c r="N132">
        <f t="shared" si="3"/>
        <v>5.9937975464201125</v>
      </c>
    </row>
    <row r="133" spans="1:14" ht="20" x14ac:dyDescent="0.2">
      <c r="A133" s="21">
        <v>122</v>
      </c>
      <c r="B133" s="6">
        <v>45970</v>
      </c>
      <c r="C133" s="5">
        <v>2.1</v>
      </c>
      <c r="D133" s="5">
        <v>216476</v>
      </c>
      <c r="E133" s="5" t="s">
        <v>372</v>
      </c>
      <c r="F133" s="5" t="s">
        <v>395</v>
      </c>
      <c r="G133" s="5" t="s">
        <v>299</v>
      </c>
      <c r="I133">
        <f t="shared" ref="I133:I196" si="4">LN(C133)-LN(C134)</f>
        <v>-9.5310179804324879E-2</v>
      </c>
      <c r="L133" s="22">
        <v>-3.382E-3</v>
      </c>
      <c r="N133">
        <f t="shared" ref="N133:N196" si="5">N134*EXP((($P$3-$P$4/2)+$P$5*L133))</f>
        <v>6.4102431307793015</v>
      </c>
    </row>
    <row r="134" spans="1:14" ht="20" x14ac:dyDescent="0.2">
      <c r="A134" s="21">
        <v>121</v>
      </c>
      <c r="B134" s="6">
        <v>45939</v>
      </c>
      <c r="C134" s="5">
        <v>2.31</v>
      </c>
      <c r="D134" s="5">
        <v>168458</v>
      </c>
      <c r="E134" s="5" t="s">
        <v>396</v>
      </c>
      <c r="F134" s="5" t="s">
        <v>363</v>
      </c>
      <c r="G134" s="5" t="s">
        <v>396</v>
      </c>
      <c r="I134">
        <f t="shared" si="4"/>
        <v>5.7922647732704502E-2</v>
      </c>
      <c r="L134" s="22">
        <v>0.22903496000000001</v>
      </c>
      <c r="N134">
        <f t="shared" si="5"/>
        <v>6.5559592092594245</v>
      </c>
    </row>
    <row r="135" spans="1:14" ht="20" x14ac:dyDescent="0.2">
      <c r="A135" s="21">
        <v>120</v>
      </c>
      <c r="B135" s="6">
        <v>45909</v>
      </c>
      <c r="C135" s="5">
        <v>2.1800000000000002</v>
      </c>
      <c r="D135" s="5">
        <v>322314</v>
      </c>
      <c r="E135" s="5" t="s">
        <v>376</v>
      </c>
      <c r="F135" s="5" t="s">
        <v>344</v>
      </c>
      <c r="G135" s="5" t="s">
        <v>397</v>
      </c>
      <c r="I135">
        <f t="shared" si="4"/>
        <v>-0.10444266336759733</v>
      </c>
      <c r="L135" s="22">
        <v>0.97475698</v>
      </c>
      <c r="N135">
        <f t="shared" si="5"/>
        <v>6.4577754512301997</v>
      </c>
    </row>
    <row r="136" spans="1:14" ht="20" x14ac:dyDescent="0.2">
      <c r="A136" s="21">
        <v>119</v>
      </c>
      <c r="B136" s="6">
        <v>45878</v>
      </c>
      <c r="C136" s="5">
        <v>2.42</v>
      </c>
      <c r="D136" s="5">
        <v>265355</v>
      </c>
      <c r="E136" s="5" t="s">
        <v>362</v>
      </c>
      <c r="F136" s="5" t="s">
        <v>398</v>
      </c>
      <c r="G136" s="5" t="s">
        <v>380</v>
      </c>
      <c r="I136">
        <f t="shared" si="4"/>
        <v>-8.2304991365154123E-3</v>
      </c>
      <c r="L136" s="22">
        <v>-1.0859866</v>
      </c>
      <c r="N136">
        <f t="shared" si="5"/>
        <v>5.6387385975744184</v>
      </c>
    </row>
    <row r="137" spans="1:14" ht="20" x14ac:dyDescent="0.2">
      <c r="A137" s="21">
        <v>118</v>
      </c>
      <c r="B137" s="6">
        <v>45786</v>
      </c>
      <c r="C137" s="5">
        <v>2.44</v>
      </c>
      <c r="D137" s="5">
        <v>4082998</v>
      </c>
      <c r="E137" s="5" t="s">
        <v>399</v>
      </c>
      <c r="F137" s="5" t="s">
        <v>400</v>
      </c>
      <c r="G137" s="5" t="s">
        <v>399</v>
      </c>
      <c r="I137">
        <f t="shared" si="4"/>
        <v>8.9996453833083079E-2</v>
      </c>
      <c r="L137" s="22">
        <v>0.89447683</v>
      </c>
      <c r="N137">
        <f t="shared" si="5"/>
        <v>6.8697293315165959</v>
      </c>
    </row>
    <row r="138" spans="1:14" ht="20" x14ac:dyDescent="0.2">
      <c r="A138" s="21">
        <v>117</v>
      </c>
      <c r="B138" s="6">
        <v>45756</v>
      </c>
      <c r="C138" s="5">
        <v>2.23</v>
      </c>
      <c r="D138" s="5">
        <v>252802</v>
      </c>
      <c r="E138" s="5" t="s">
        <v>401</v>
      </c>
      <c r="F138" s="5" t="s">
        <v>380</v>
      </c>
      <c r="G138" s="5" t="s">
        <v>402</v>
      </c>
      <c r="I138">
        <f t="shared" si="4"/>
        <v>8.4161792321710616E-2</v>
      </c>
      <c r="L138" s="22">
        <v>0.64312194</v>
      </c>
      <c r="N138">
        <f t="shared" si="5"/>
        <v>6.0767881802843675</v>
      </c>
    </row>
    <row r="139" spans="1:14" ht="20" x14ac:dyDescent="0.2">
      <c r="A139" s="21">
        <v>116</v>
      </c>
      <c r="B139" s="6">
        <v>45725</v>
      </c>
      <c r="C139" s="5">
        <v>2.0499999999999998</v>
      </c>
      <c r="D139" s="5">
        <v>223695</v>
      </c>
      <c r="E139" s="5" t="s">
        <v>403</v>
      </c>
      <c r="F139" s="5" t="s">
        <v>396</v>
      </c>
      <c r="G139" s="5" t="s">
        <v>313</v>
      </c>
      <c r="I139">
        <f t="shared" si="4"/>
        <v>-4.2966035883443388E-2</v>
      </c>
      <c r="L139" s="22">
        <v>-0.90596030000000005</v>
      </c>
      <c r="N139">
        <f t="shared" si="5"/>
        <v>5.5982592451533453</v>
      </c>
    </row>
    <row r="140" spans="1:14" ht="20" x14ac:dyDescent="0.2">
      <c r="A140" s="21">
        <v>115</v>
      </c>
      <c r="B140" s="6">
        <v>45697</v>
      </c>
      <c r="C140" s="5">
        <v>2.14</v>
      </c>
      <c r="D140" s="5">
        <v>1446774</v>
      </c>
      <c r="E140" s="5" t="s">
        <v>404</v>
      </c>
      <c r="F140" s="5" t="s">
        <v>315</v>
      </c>
      <c r="G140" s="5" t="s">
        <v>405</v>
      </c>
      <c r="I140">
        <f t="shared" si="4"/>
        <v>0.21268442052407255</v>
      </c>
      <c r="L140" s="22">
        <v>1.20919417</v>
      </c>
      <c r="N140">
        <f t="shared" si="5"/>
        <v>6.6248082036065039</v>
      </c>
    </row>
    <row r="141" spans="1:14" ht="20" x14ac:dyDescent="0.2">
      <c r="A141" s="21">
        <v>114</v>
      </c>
      <c r="B141" s="4" t="s">
        <v>406</v>
      </c>
      <c r="C141" s="5">
        <v>1.73</v>
      </c>
      <c r="D141" s="5">
        <v>185987</v>
      </c>
      <c r="E141" s="5" t="s">
        <v>404</v>
      </c>
      <c r="F141" s="5" t="s">
        <v>291</v>
      </c>
      <c r="G141" s="5" t="s">
        <v>276</v>
      </c>
      <c r="I141">
        <f t="shared" si="4"/>
        <v>-6.7064230580545892E-2</v>
      </c>
      <c r="L141" s="22">
        <v>-1.2250508</v>
      </c>
      <c r="N141">
        <f t="shared" si="5"/>
        <v>5.5694905715225707</v>
      </c>
    </row>
    <row r="142" spans="1:14" ht="20" x14ac:dyDescent="0.2">
      <c r="A142" s="21">
        <v>113</v>
      </c>
      <c r="B142" s="4" t="s">
        <v>407</v>
      </c>
      <c r="C142" s="5">
        <v>1.85</v>
      </c>
      <c r="D142" s="5">
        <v>317389</v>
      </c>
      <c r="E142" s="5" t="s">
        <v>408</v>
      </c>
      <c r="F142" s="5" t="s">
        <v>263</v>
      </c>
      <c r="G142" s="5" t="s">
        <v>409</v>
      </c>
      <c r="I142">
        <f t="shared" si="4"/>
        <v>-5.3908486348764884E-3</v>
      </c>
      <c r="L142" s="22">
        <v>0.88085188999999997</v>
      </c>
      <c r="N142">
        <f t="shared" si="5"/>
        <v>6.9396100791295465</v>
      </c>
    </row>
    <row r="143" spans="1:14" ht="20" x14ac:dyDescent="0.2">
      <c r="A143" s="21">
        <v>112</v>
      </c>
      <c r="B143" s="4" t="s">
        <v>410</v>
      </c>
      <c r="C143" s="5">
        <v>1.86</v>
      </c>
      <c r="D143" s="5">
        <v>143515</v>
      </c>
      <c r="E143" s="5" t="s">
        <v>411</v>
      </c>
      <c r="F143" s="5" t="s">
        <v>411</v>
      </c>
      <c r="G143" s="5" t="s">
        <v>412</v>
      </c>
      <c r="I143">
        <f t="shared" si="4"/>
        <v>-1.6000341346441016E-2</v>
      </c>
      <c r="L143" s="22">
        <v>1.2884879899999999</v>
      </c>
      <c r="N143">
        <f t="shared" si="5"/>
        <v>6.1521366785537737</v>
      </c>
    </row>
    <row r="144" spans="1:14" ht="20" x14ac:dyDescent="0.2">
      <c r="A144" s="21">
        <v>111</v>
      </c>
      <c r="B144" s="4" t="s">
        <v>413</v>
      </c>
      <c r="C144" s="5">
        <v>1.89</v>
      </c>
      <c r="D144" s="5">
        <v>211192</v>
      </c>
      <c r="E144" s="5" t="s">
        <v>414</v>
      </c>
      <c r="F144" s="5" t="s">
        <v>307</v>
      </c>
      <c r="G144" s="5" t="s">
        <v>415</v>
      </c>
      <c r="I144">
        <f t="shared" si="4"/>
        <v>-8.612915372993879E-2</v>
      </c>
      <c r="L144" s="22">
        <v>0.9517776</v>
      </c>
      <c r="N144">
        <f t="shared" si="5"/>
        <v>5.1062482694658256</v>
      </c>
    </row>
    <row r="145" spans="1:14" ht="20" x14ac:dyDescent="0.2">
      <c r="A145" s="21">
        <v>110</v>
      </c>
      <c r="B145" s="4" t="s">
        <v>416</v>
      </c>
      <c r="C145" s="5">
        <v>2.06</v>
      </c>
      <c r="D145" s="5">
        <v>450687</v>
      </c>
      <c r="E145" s="5" t="s">
        <v>417</v>
      </c>
      <c r="F145" s="5" t="s">
        <v>300</v>
      </c>
      <c r="G145" s="5" t="s">
        <v>304</v>
      </c>
      <c r="I145">
        <f t="shared" si="4"/>
        <v>4.9761509559063999E-2</v>
      </c>
      <c r="L145" s="22">
        <v>-4.1381899999999999E-2</v>
      </c>
      <c r="N145">
        <f t="shared" si="5"/>
        <v>4.4752163877592821</v>
      </c>
    </row>
    <row r="146" spans="1:14" ht="20" x14ac:dyDescent="0.2">
      <c r="A146" s="21">
        <v>109</v>
      </c>
      <c r="B146" s="4" t="s">
        <v>418</v>
      </c>
      <c r="C146" s="5">
        <v>1.96</v>
      </c>
      <c r="D146" s="5">
        <v>254082</v>
      </c>
      <c r="E146" s="5" t="s">
        <v>419</v>
      </c>
      <c r="F146" s="5" t="s">
        <v>419</v>
      </c>
      <c r="G146" s="5" t="s">
        <v>303</v>
      </c>
      <c r="I146">
        <f t="shared" si="4"/>
        <v>-9.7163748453647947E-2</v>
      </c>
      <c r="L146" s="22">
        <v>-4.2366300000000003E-2</v>
      </c>
      <c r="N146">
        <f t="shared" si="5"/>
        <v>4.6051445917386085</v>
      </c>
    </row>
    <row r="147" spans="1:14" ht="20" x14ac:dyDescent="0.2">
      <c r="A147" s="21">
        <v>108</v>
      </c>
      <c r="B147" s="4" t="s">
        <v>420</v>
      </c>
      <c r="C147" s="5">
        <v>2.16</v>
      </c>
      <c r="D147" s="5">
        <v>763346</v>
      </c>
      <c r="E147" s="5" t="s">
        <v>403</v>
      </c>
      <c r="F147" s="5" t="s">
        <v>322</v>
      </c>
      <c r="G147" s="5" t="s">
        <v>310</v>
      </c>
      <c r="I147">
        <f t="shared" si="4"/>
        <v>0</v>
      </c>
      <c r="L147" s="22">
        <v>0.35056261</v>
      </c>
      <c r="N147">
        <f t="shared" si="5"/>
        <v>4.739599054794982</v>
      </c>
    </row>
    <row r="148" spans="1:14" ht="20" x14ac:dyDescent="0.2">
      <c r="A148" s="21">
        <v>107</v>
      </c>
      <c r="B148" s="4" t="s">
        <v>421</v>
      </c>
      <c r="C148" s="5">
        <v>2.16</v>
      </c>
      <c r="D148" s="5">
        <v>159402</v>
      </c>
      <c r="E148" s="5" t="s">
        <v>386</v>
      </c>
      <c r="F148" s="5" t="s">
        <v>386</v>
      </c>
      <c r="G148" s="5" t="s">
        <v>422</v>
      </c>
      <c r="I148">
        <f t="shared" si="4"/>
        <v>-0.10951852580648991</v>
      </c>
      <c r="L148" s="22">
        <v>-0.60882879999999995</v>
      </c>
      <c r="N148">
        <f t="shared" si="5"/>
        <v>4.5778060403312875</v>
      </c>
    </row>
    <row r="149" spans="1:14" ht="20" x14ac:dyDescent="0.2">
      <c r="A149" s="21">
        <v>106</v>
      </c>
      <c r="B149" s="4" t="s">
        <v>423</v>
      </c>
      <c r="C149" s="5">
        <v>2.41</v>
      </c>
      <c r="D149" s="5">
        <v>181953</v>
      </c>
      <c r="E149" s="5" t="s">
        <v>424</v>
      </c>
      <c r="F149" s="5" t="s">
        <v>347</v>
      </c>
      <c r="G149" s="5" t="s">
        <v>425</v>
      </c>
      <c r="I149">
        <f t="shared" si="4"/>
        <v>-4.4632154020768255E-2</v>
      </c>
      <c r="L149" s="22">
        <v>0.67885357999999996</v>
      </c>
      <c r="N149">
        <f t="shared" si="5"/>
        <v>5.1632108571286857</v>
      </c>
    </row>
    <row r="150" spans="1:14" ht="20" x14ac:dyDescent="0.2">
      <c r="A150" s="21">
        <v>105</v>
      </c>
      <c r="B150" s="4" t="s">
        <v>426</v>
      </c>
      <c r="C150" s="5">
        <v>2.52</v>
      </c>
      <c r="D150" s="5">
        <v>126699</v>
      </c>
      <c r="E150" s="5" t="s">
        <v>341</v>
      </c>
      <c r="F150" s="5" t="s">
        <v>341</v>
      </c>
      <c r="G150" s="5" t="s">
        <v>427</v>
      </c>
      <c r="I150">
        <f t="shared" si="4"/>
        <v>-4.6520015634892942E-2</v>
      </c>
      <c r="L150" s="22">
        <v>-1.3341092000000001</v>
      </c>
      <c r="N150">
        <f t="shared" si="5"/>
        <v>4.7292307436321197</v>
      </c>
    </row>
    <row r="151" spans="1:14" ht="20" x14ac:dyDescent="0.2">
      <c r="A151" s="21">
        <v>104</v>
      </c>
      <c r="B151" s="4" t="s">
        <v>428</v>
      </c>
      <c r="C151" s="5">
        <v>2.64</v>
      </c>
      <c r="D151" s="5">
        <v>173862</v>
      </c>
      <c r="E151" s="5" t="s">
        <v>341</v>
      </c>
      <c r="F151" s="5" t="s">
        <v>429</v>
      </c>
      <c r="G151" s="5" t="s">
        <v>362</v>
      </c>
      <c r="I151">
        <f t="shared" si="4"/>
        <v>1.5267472130788495E-2</v>
      </c>
      <c r="L151" s="22">
        <v>0.29777337999999998</v>
      </c>
      <c r="N151">
        <f t="shared" si="5"/>
        <v>5.9974371543338343</v>
      </c>
    </row>
    <row r="152" spans="1:14" ht="20" x14ac:dyDescent="0.2">
      <c r="A152" s="21">
        <v>103</v>
      </c>
      <c r="B152" s="4" t="s">
        <v>430</v>
      </c>
      <c r="C152" s="5">
        <v>2.6</v>
      </c>
      <c r="D152" s="5">
        <v>146226</v>
      </c>
      <c r="E152" s="5" t="s">
        <v>350</v>
      </c>
      <c r="F152" s="5" t="s">
        <v>431</v>
      </c>
      <c r="G152" s="5" t="s">
        <v>344</v>
      </c>
      <c r="I152">
        <f t="shared" si="4"/>
        <v>-8.1225439922585907E-2</v>
      </c>
      <c r="L152" s="22">
        <v>0.62541844999999996</v>
      </c>
      <c r="N152">
        <f t="shared" si="5"/>
        <v>5.8423443523809162</v>
      </c>
    </row>
    <row r="153" spans="1:14" ht="20" x14ac:dyDescent="0.2">
      <c r="A153" s="21">
        <v>102</v>
      </c>
      <c r="B153" s="4" t="s">
        <v>432</v>
      </c>
      <c r="C153" s="5">
        <v>2.82</v>
      </c>
      <c r="D153" s="5">
        <v>284399</v>
      </c>
      <c r="E153" s="5" t="s">
        <v>433</v>
      </c>
      <c r="F153" s="5" t="s">
        <v>434</v>
      </c>
      <c r="G153" s="5" t="s">
        <v>350</v>
      </c>
      <c r="I153">
        <f t="shared" si="4"/>
        <v>-6.1875403718087529E-2</v>
      </c>
      <c r="L153" s="22">
        <v>-0.80056749999999999</v>
      </c>
      <c r="N153">
        <f t="shared" si="5"/>
        <v>5.3977006564674932</v>
      </c>
    </row>
    <row r="154" spans="1:14" ht="20" x14ac:dyDescent="0.2">
      <c r="A154" s="21">
        <v>101</v>
      </c>
      <c r="B154" s="6">
        <v>45999</v>
      </c>
      <c r="C154" s="5">
        <v>3</v>
      </c>
      <c r="D154" s="5">
        <v>307794</v>
      </c>
      <c r="E154" s="5" t="s">
        <v>435</v>
      </c>
      <c r="F154" s="5" t="s">
        <v>435</v>
      </c>
      <c r="G154" s="5" t="s">
        <v>433</v>
      </c>
      <c r="I154">
        <f t="shared" si="4"/>
        <v>-0.1570037488096645</v>
      </c>
      <c r="L154" s="22">
        <v>0.53473300000000001</v>
      </c>
      <c r="N154">
        <f t="shared" si="5"/>
        <v>6.2795830576831655</v>
      </c>
    </row>
    <row r="155" spans="1:14" ht="20" x14ac:dyDescent="0.2">
      <c r="A155" s="21">
        <v>100</v>
      </c>
      <c r="B155" s="6">
        <v>45969</v>
      </c>
      <c r="C155" s="5">
        <v>3.51</v>
      </c>
      <c r="D155" s="5">
        <v>322917</v>
      </c>
      <c r="E155" s="5" t="s">
        <v>436</v>
      </c>
      <c r="F155" s="5" t="s">
        <v>437</v>
      </c>
      <c r="G155" s="5" t="s">
        <v>438</v>
      </c>
      <c r="I155">
        <f t="shared" si="4"/>
        <v>-0.10536051565782634</v>
      </c>
      <c r="L155" s="22">
        <v>0.88213615000000001</v>
      </c>
      <c r="N155">
        <f t="shared" si="5"/>
        <v>5.8873292976250138</v>
      </c>
    </row>
    <row r="156" spans="1:14" ht="20" x14ac:dyDescent="0.2">
      <c r="A156" s="21">
        <v>99</v>
      </c>
      <c r="B156" s="6">
        <v>45877</v>
      </c>
      <c r="C156" s="5">
        <v>3.9</v>
      </c>
      <c r="D156" s="5">
        <v>143495</v>
      </c>
      <c r="E156" s="5" t="s">
        <v>439</v>
      </c>
      <c r="F156" s="5" t="s">
        <v>440</v>
      </c>
      <c r="G156" s="5" t="s">
        <v>436</v>
      </c>
      <c r="I156">
        <f t="shared" si="4"/>
        <v>1.5504186535965081E-2</v>
      </c>
      <c r="L156" s="22">
        <v>0.24818889</v>
      </c>
      <c r="N156">
        <f t="shared" si="5"/>
        <v>5.2181803214332376</v>
      </c>
    </row>
    <row r="157" spans="1:14" ht="20" x14ac:dyDescent="0.2">
      <c r="A157" s="21">
        <v>98</v>
      </c>
      <c r="B157" s="6">
        <v>45846</v>
      </c>
      <c r="C157" s="5">
        <v>3.84</v>
      </c>
      <c r="D157" s="5">
        <v>79368</v>
      </c>
      <c r="E157" s="5" t="s">
        <v>436</v>
      </c>
      <c r="F157" s="5" t="s">
        <v>441</v>
      </c>
      <c r="G157" s="5" t="s">
        <v>442</v>
      </c>
      <c r="I157">
        <f t="shared" si="4"/>
        <v>-2.6007817000572864E-3</v>
      </c>
      <c r="L157" s="22">
        <v>-5.66645E-2</v>
      </c>
      <c r="N157">
        <f t="shared" si="5"/>
        <v>5.1241428142899696</v>
      </c>
    </row>
    <row r="158" spans="1:14" ht="20" x14ac:dyDescent="0.2">
      <c r="A158" s="21">
        <v>97</v>
      </c>
      <c r="B158" s="6">
        <v>45816</v>
      </c>
      <c r="C158" s="5">
        <v>3.85</v>
      </c>
      <c r="D158" s="5">
        <v>83226</v>
      </c>
      <c r="E158" s="5" t="s">
        <v>443</v>
      </c>
      <c r="F158" s="5" t="s">
        <v>444</v>
      </c>
      <c r="G158" s="5" t="s">
        <v>439</v>
      </c>
      <c r="I158">
        <f t="shared" si="4"/>
        <v>-1.0336009330662144E-2</v>
      </c>
      <c r="L158" s="22">
        <v>-1.8926662000000001</v>
      </c>
      <c r="N158">
        <f t="shared" si="5"/>
        <v>5.2859524732575736</v>
      </c>
    </row>
    <row r="159" spans="1:14" ht="20" x14ac:dyDescent="0.2">
      <c r="A159" s="21">
        <v>96</v>
      </c>
      <c r="B159" s="6">
        <v>45785</v>
      </c>
      <c r="C159" s="5">
        <v>3.89</v>
      </c>
      <c r="D159" s="5">
        <v>85471</v>
      </c>
      <c r="E159" s="5" t="s">
        <v>437</v>
      </c>
      <c r="F159" s="5" t="s">
        <v>445</v>
      </c>
      <c r="G159" s="5" t="s">
        <v>439</v>
      </c>
      <c r="I159">
        <f t="shared" si="4"/>
        <v>5.1546505886645999E-3</v>
      </c>
      <c r="L159" s="22">
        <v>0.35795280000000002</v>
      </c>
      <c r="N159">
        <f t="shared" si="5"/>
        <v>7.3368163923337359</v>
      </c>
    </row>
    <row r="160" spans="1:14" ht="20" x14ac:dyDescent="0.2">
      <c r="A160" s="21">
        <v>95</v>
      </c>
      <c r="B160" s="6">
        <v>45755</v>
      </c>
      <c r="C160" s="5">
        <v>3.87</v>
      </c>
      <c r="D160" s="5">
        <v>101274</v>
      </c>
      <c r="E160" s="5" t="s">
        <v>443</v>
      </c>
      <c r="F160" s="5" t="s">
        <v>446</v>
      </c>
      <c r="G160" s="5" t="s">
        <v>447</v>
      </c>
      <c r="I160">
        <f t="shared" si="4"/>
        <v>3.4168895615249717E-2</v>
      </c>
      <c r="L160" s="22">
        <v>-2.2312832999999999</v>
      </c>
      <c r="N160">
        <f t="shared" si="5"/>
        <v>7.0779039211358263</v>
      </c>
    </row>
    <row r="161" spans="1:14" ht="20" x14ac:dyDescent="0.2">
      <c r="A161" s="21">
        <v>94</v>
      </c>
      <c r="B161" s="6">
        <v>45665</v>
      </c>
      <c r="C161" s="5">
        <v>3.74</v>
      </c>
      <c r="D161" s="5">
        <v>128639</v>
      </c>
      <c r="E161" s="5" t="s">
        <v>448</v>
      </c>
      <c r="F161" s="5" t="s">
        <v>439</v>
      </c>
      <c r="G161" s="5" t="s">
        <v>449</v>
      </c>
      <c r="I161">
        <f t="shared" si="4"/>
        <v>-2.1164811192043054E-2</v>
      </c>
      <c r="L161" s="22">
        <v>-1.1699961000000001</v>
      </c>
      <c r="N161">
        <f t="shared" si="5"/>
        <v>10.376695364143288</v>
      </c>
    </row>
    <row r="162" spans="1:14" ht="20" x14ac:dyDescent="0.2">
      <c r="A162" s="21">
        <v>93</v>
      </c>
      <c r="B162" s="4" t="s">
        <v>450</v>
      </c>
      <c r="C162" s="5">
        <v>3.82</v>
      </c>
      <c r="D162" s="5">
        <v>109529</v>
      </c>
      <c r="E162" s="5" t="s">
        <v>451</v>
      </c>
      <c r="F162" s="5" t="s">
        <v>452</v>
      </c>
      <c r="G162" s="5" t="s">
        <v>453</v>
      </c>
      <c r="I162">
        <f t="shared" si="4"/>
        <v>-2.584123118388737E-2</v>
      </c>
      <c r="L162" s="22">
        <v>-0.1256467</v>
      </c>
      <c r="N162">
        <f t="shared" si="5"/>
        <v>12.814863117581552</v>
      </c>
    </row>
    <row r="163" spans="1:14" ht="20" x14ac:dyDescent="0.2">
      <c r="A163" s="21">
        <v>92</v>
      </c>
      <c r="B163" s="4" t="s">
        <v>454</v>
      </c>
      <c r="C163" s="5">
        <v>3.92</v>
      </c>
      <c r="D163" s="5">
        <v>157966</v>
      </c>
      <c r="E163" s="5" t="s">
        <v>455</v>
      </c>
      <c r="F163" s="5" t="s">
        <v>456</v>
      </c>
      <c r="G163" s="5" t="s">
        <v>439</v>
      </c>
      <c r="I163">
        <f t="shared" si="4"/>
        <v>1.0256500167189042E-2</v>
      </c>
      <c r="L163" s="22">
        <v>-2.8034099999999999E-2</v>
      </c>
      <c r="N163">
        <f t="shared" si="5"/>
        <v>13.367751530665874</v>
      </c>
    </row>
    <row r="164" spans="1:14" ht="20" x14ac:dyDescent="0.2">
      <c r="A164" s="21">
        <v>91</v>
      </c>
      <c r="B164" s="4" t="s">
        <v>457</v>
      </c>
      <c r="C164" s="5">
        <v>3.88</v>
      </c>
      <c r="D164" s="5">
        <v>124712</v>
      </c>
      <c r="E164" s="5" t="s">
        <v>458</v>
      </c>
      <c r="F164" s="5" t="s">
        <v>459</v>
      </c>
      <c r="G164" s="5" t="s">
        <v>447</v>
      </c>
      <c r="I164">
        <f t="shared" si="4"/>
        <v>-1.5345569674660497E-2</v>
      </c>
      <c r="L164" s="22">
        <v>0.15839787999999999</v>
      </c>
      <c r="N164">
        <f t="shared" si="5"/>
        <v>13.72620928588735</v>
      </c>
    </row>
    <row r="165" spans="1:14" ht="20" x14ac:dyDescent="0.2">
      <c r="A165" s="21">
        <v>90</v>
      </c>
      <c r="B165" s="4" t="s">
        <v>460</v>
      </c>
      <c r="C165" s="5">
        <v>3.94</v>
      </c>
      <c r="D165" s="5">
        <v>246395</v>
      </c>
      <c r="E165" s="5" t="s">
        <v>461</v>
      </c>
      <c r="F165" s="5" t="s">
        <v>462</v>
      </c>
      <c r="G165" s="5" t="s">
        <v>441</v>
      </c>
      <c r="I165">
        <f t="shared" si="4"/>
        <v>7.6433493125680485E-3</v>
      </c>
      <c r="L165" s="22">
        <v>0.94277549999999999</v>
      </c>
      <c r="N165">
        <f t="shared" si="5"/>
        <v>13.675897775103653</v>
      </c>
    </row>
    <row r="166" spans="1:14" ht="20" x14ac:dyDescent="0.2">
      <c r="A166" s="21">
        <v>89</v>
      </c>
      <c r="B166" s="4" t="s">
        <v>463</v>
      </c>
      <c r="C166" s="5">
        <v>3.91</v>
      </c>
      <c r="D166" s="5">
        <v>151127</v>
      </c>
      <c r="E166" s="5" t="s">
        <v>437</v>
      </c>
      <c r="F166" s="5" t="s">
        <v>464</v>
      </c>
      <c r="G166" s="5" t="s">
        <v>453</v>
      </c>
      <c r="I166">
        <f t="shared" si="4"/>
        <v>2.5908184858664862E-2</v>
      </c>
      <c r="L166" s="22">
        <v>1.92706026</v>
      </c>
      <c r="N166">
        <f t="shared" si="5"/>
        <v>12.003278471561552</v>
      </c>
    </row>
    <row r="167" spans="1:14" ht="20" x14ac:dyDescent="0.2">
      <c r="A167" s="21">
        <v>88</v>
      </c>
      <c r="B167" s="4" t="s">
        <v>465</v>
      </c>
      <c r="C167" s="5">
        <v>3.81</v>
      </c>
      <c r="D167" s="5">
        <v>279944</v>
      </c>
      <c r="E167" s="5" t="s">
        <v>466</v>
      </c>
      <c r="F167" s="5" t="s">
        <v>456</v>
      </c>
      <c r="G167" s="5" t="s">
        <v>436</v>
      </c>
      <c r="I167">
        <f t="shared" si="4"/>
        <v>-9.0286846672100518E-2</v>
      </c>
      <c r="L167" s="22">
        <v>-0.55352990000000002</v>
      </c>
      <c r="N167">
        <f t="shared" si="5"/>
        <v>8.98565586186802</v>
      </c>
    </row>
    <row r="168" spans="1:14" ht="20" x14ac:dyDescent="0.2">
      <c r="A168" s="21">
        <v>87</v>
      </c>
      <c r="B168" s="4" t="s">
        <v>467</v>
      </c>
      <c r="C168" s="5">
        <v>4.17</v>
      </c>
      <c r="D168" s="5">
        <v>137371</v>
      </c>
      <c r="E168" s="5" t="s">
        <v>468</v>
      </c>
      <c r="F168" s="5" t="s">
        <v>468</v>
      </c>
      <c r="G168" s="5" t="s">
        <v>469</v>
      </c>
      <c r="I168">
        <f t="shared" si="4"/>
        <v>0</v>
      </c>
      <c r="L168" s="22">
        <v>-3.0635203</v>
      </c>
      <c r="N168">
        <f t="shared" si="5"/>
        <v>10.044548532034742</v>
      </c>
    </row>
    <row r="169" spans="1:14" ht="20" x14ac:dyDescent="0.2">
      <c r="A169" s="21">
        <v>86</v>
      </c>
      <c r="B169" s="4" t="s">
        <v>470</v>
      </c>
      <c r="C169" s="5">
        <v>4.17</v>
      </c>
      <c r="D169" s="5">
        <v>196336</v>
      </c>
      <c r="E169" s="5" t="s">
        <v>471</v>
      </c>
      <c r="F169" s="5" t="s">
        <v>472</v>
      </c>
      <c r="G169" s="5" t="s">
        <v>456</v>
      </c>
      <c r="I169">
        <f t="shared" si="4"/>
        <v>-5.1413191276369785E-2</v>
      </c>
      <c r="L169" s="22">
        <v>-0.8161043</v>
      </c>
      <c r="N169">
        <f t="shared" si="5"/>
        <v>16.846342211775418</v>
      </c>
    </row>
    <row r="170" spans="1:14" ht="20" x14ac:dyDescent="0.2">
      <c r="A170" s="21">
        <v>85</v>
      </c>
      <c r="B170" s="4" t="s">
        <v>473</v>
      </c>
      <c r="C170" s="5">
        <v>4.3899999999999997</v>
      </c>
      <c r="D170" s="5">
        <v>1013972</v>
      </c>
      <c r="E170" s="5" t="s">
        <v>468</v>
      </c>
      <c r="F170" s="5" t="s">
        <v>474</v>
      </c>
      <c r="G170" s="5" t="s">
        <v>466</v>
      </c>
      <c r="I170">
        <f t="shared" si="4"/>
        <v>3.9494099039159458E-2</v>
      </c>
      <c r="L170" s="22">
        <v>1.4493036800000001</v>
      </c>
      <c r="N170">
        <f t="shared" si="5"/>
        <v>19.647996547358805</v>
      </c>
    </row>
    <row r="171" spans="1:14" ht="20" x14ac:dyDescent="0.2">
      <c r="A171" s="21">
        <v>84</v>
      </c>
      <c r="B171" s="4" t="s">
        <v>475</v>
      </c>
      <c r="C171" s="5">
        <v>4.22</v>
      </c>
      <c r="D171" s="5">
        <v>216154</v>
      </c>
      <c r="E171" s="5" t="s">
        <v>471</v>
      </c>
      <c r="F171" s="5" t="s">
        <v>476</v>
      </c>
      <c r="G171" s="5" t="s">
        <v>477</v>
      </c>
      <c r="I171">
        <f t="shared" si="4"/>
        <v>0</v>
      </c>
      <c r="L171" s="22">
        <v>0.50302566999999998</v>
      </c>
      <c r="N171">
        <f t="shared" si="5"/>
        <v>15.889323116355037</v>
      </c>
    </row>
    <row r="172" spans="1:14" ht="20" x14ac:dyDescent="0.2">
      <c r="A172" s="21">
        <v>83</v>
      </c>
      <c r="B172" s="4" t="s">
        <v>478</v>
      </c>
      <c r="C172" s="5">
        <v>4.22</v>
      </c>
      <c r="D172" s="5">
        <v>278889</v>
      </c>
      <c r="E172" s="5" t="s">
        <v>462</v>
      </c>
      <c r="F172" s="5" t="s">
        <v>479</v>
      </c>
      <c r="G172" s="5" t="s">
        <v>480</v>
      </c>
      <c r="I172">
        <f t="shared" si="4"/>
        <v>-7.0838548884049057E-3</v>
      </c>
      <c r="L172" s="22">
        <v>-1.0105345999999999</v>
      </c>
      <c r="N172">
        <f t="shared" si="5"/>
        <v>14.973339947182179</v>
      </c>
    </row>
    <row r="173" spans="1:14" ht="20" x14ac:dyDescent="0.2">
      <c r="A173" s="21">
        <v>82</v>
      </c>
      <c r="B173" s="4" t="s">
        <v>481</v>
      </c>
      <c r="C173" s="5">
        <v>4.25</v>
      </c>
      <c r="D173" s="5">
        <v>458026</v>
      </c>
      <c r="E173" s="5" t="s">
        <v>482</v>
      </c>
      <c r="F173" s="5" t="s">
        <v>483</v>
      </c>
      <c r="G173" s="5" t="s">
        <v>459</v>
      </c>
      <c r="I173">
        <f t="shared" si="4"/>
        <v>-1.1696039763191335E-2</v>
      </c>
      <c r="L173" s="22">
        <v>-0.76920230000000001</v>
      </c>
      <c r="N173">
        <f t="shared" si="5"/>
        <v>18.021038811656812</v>
      </c>
    </row>
    <row r="174" spans="1:14" ht="20" x14ac:dyDescent="0.2">
      <c r="A174" s="21">
        <v>81</v>
      </c>
      <c r="B174" s="4" t="s">
        <v>484</v>
      </c>
      <c r="C174" s="5">
        <v>4.3</v>
      </c>
      <c r="D174" s="5">
        <v>510735</v>
      </c>
      <c r="E174" s="5" t="s">
        <v>485</v>
      </c>
      <c r="F174" s="5" t="s">
        <v>486</v>
      </c>
      <c r="G174" s="5" t="s">
        <v>487</v>
      </c>
      <c r="I174">
        <f t="shared" si="4"/>
        <v>-7.8252196899748272E-2</v>
      </c>
      <c r="L174" s="22">
        <v>-1.5107837</v>
      </c>
      <c r="N174">
        <f t="shared" si="5"/>
        <v>20.859316927996414</v>
      </c>
    </row>
    <row r="175" spans="1:14" ht="20" x14ac:dyDescent="0.2">
      <c r="A175" s="21">
        <v>80</v>
      </c>
      <c r="B175" s="4" t="s">
        <v>488</v>
      </c>
      <c r="C175" s="5">
        <v>4.6500000000000004</v>
      </c>
      <c r="D175" s="5">
        <v>628650</v>
      </c>
      <c r="E175" s="5" t="s">
        <v>489</v>
      </c>
      <c r="F175" s="5" t="s">
        <v>490</v>
      </c>
      <c r="G175" s="5" t="s">
        <v>491</v>
      </c>
      <c r="I175">
        <f t="shared" si="4"/>
        <v>-4.0047501129275354E-2</v>
      </c>
      <c r="L175" s="22">
        <v>0.56874124999999998</v>
      </c>
      <c r="N175">
        <f t="shared" si="5"/>
        <v>27.219325414376339</v>
      </c>
    </row>
    <row r="176" spans="1:14" ht="20" x14ac:dyDescent="0.2">
      <c r="A176" s="21">
        <v>79</v>
      </c>
      <c r="B176" s="6">
        <v>45968</v>
      </c>
      <c r="C176" s="5">
        <v>4.84</v>
      </c>
      <c r="D176" s="5">
        <v>1661297</v>
      </c>
      <c r="E176" s="5" t="s">
        <v>492</v>
      </c>
      <c r="F176" s="5" t="s">
        <v>493</v>
      </c>
      <c r="G176" s="5" t="s">
        <v>494</v>
      </c>
      <c r="I176">
        <f t="shared" si="4"/>
        <v>5.085841723349116E-2</v>
      </c>
      <c r="L176" s="22">
        <v>0.36740097999999999</v>
      </c>
      <c r="N176">
        <f t="shared" si="5"/>
        <v>25.379180192070525</v>
      </c>
    </row>
    <row r="177" spans="1:14" ht="20" x14ac:dyDescent="0.2">
      <c r="A177" s="21">
        <v>78</v>
      </c>
      <c r="B177" s="6">
        <v>45937</v>
      </c>
      <c r="C177" s="5">
        <v>4.5999999999999996</v>
      </c>
      <c r="D177" s="5">
        <v>10920180</v>
      </c>
      <c r="E177" s="5" t="s">
        <v>495</v>
      </c>
      <c r="F177" s="5" t="s">
        <v>496</v>
      </c>
      <c r="G177" s="5" t="s">
        <v>497</v>
      </c>
      <c r="I177">
        <f t="shared" si="4"/>
        <v>-0.18232155679395468</v>
      </c>
      <c r="L177" s="22">
        <v>0.83988196999999998</v>
      </c>
      <c r="N177">
        <f t="shared" si="5"/>
        <v>24.446200238411144</v>
      </c>
    </row>
    <row r="178" spans="1:14" ht="20" x14ac:dyDescent="0.2">
      <c r="A178" s="21">
        <v>77</v>
      </c>
      <c r="B178" s="6">
        <v>45907</v>
      </c>
      <c r="C178" s="5">
        <v>5.52</v>
      </c>
      <c r="D178" s="5">
        <v>347738</v>
      </c>
      <c r="E178" s="5" t="s">
        <v>498</v>
      </c>
      <c r="F178" s="5" t="s">
        <v>499</v>
      </c>
      <c r="G178" s="5" t="s">
        <v>500</v>
      </c>
      <c r="I178">
        <f t="shared" si="4"/>
        <v>5.9719234701622215E-2</v>
      </c>
      <c r="L178" s="22">
        <v>-0.2817171</v>
      </c>
      <c r="N178">
        <f t="shared" si="5"/>
        <v>21.816156926914005</v>
      </c>
    </row>
    <row r="179" spans="1:14" ht="20" x14ac:dyDescent="0.2">
      <c r="A179" s="21">
        <v>76</v>
      </c>
      <c r="B179" s="6">
        <v>45876</v>
      </c>
      <c r="C179" s="5">
        <v>5.2</v>
      </c>
      <c r="D179" s="5">
        <v>485820</v>
      </c>
      <c r="E179" s="5" t="s">
        <v>501</v>
      </c>
      <c r="F179" s="5" t="s">
        <v>502</v>
      </c>
      <c r="G179" s="5" t="s">
        <v>503</v>
      </c>
      <c r="I179">
        <f t="shared" si="4"/>
        <v>4.5238785478844301E-2</v>
      </c>
      <c r="L179" s="22">
        <v>1.1566863999999999</v>
      </c>
      <c r="N179">
        <f t="shared" si="5"/>
        <v>23.338791441536493</v>
      </c>
    </row>
    <row r="180" spans="1:14" ht="20" x14ac:dyDescent="0.2">
      <c r="A180" s="21">
        <v>75</v>
      </c>
      <c r="B180" s="6">
        <v>45845</v>
      </c>
      <c r="C180" s="5">
        <v>4.97</v>
      </c>
      <c r="D180" s="5">
        <v>1329499</v>
      </c>
      <c r="E180" s="5" t="s">
        <v>504</v>
      </c>
      <c r="F180" s="5" t="s">
        <v>505</v>
      </c>
      <c r="G180" s="5" t="s">
        <v>491</v>
      </c>
      <c r="I180">
        <f t="shared" si="4"/>
        <v>0.14480481740902063</v>
      </c>
      <c r="L180" s="22">
        <v>-0.31100070000000002</v>
      </c>
      <c r="N180">
        <f t="shared" si="5"/>
        <v>19.788206354798348</v>
      </c>
    </row>
    <row r="181" spans="1:14" ht="20" x14ac:dyDescent="0.2">
      <c r="A181" s="21">
        <v>74</v>
      </c>
      <c r="B181" s="6">
        <v>45723</v>
      </c>
      <c r="C181" s="5">
        <v>4.3</v>
      </c>
      <c r="D181" s="5">
        <v>433193</v>
      </c>
      <c r="E181" s="5" t="s">
        <v>458</v>
      </c>
      <c r="F181" s="5" t="s">
        <v>471</v>
      </c>
      <c r="G181" s="5" t="s">
        <v>439</v>
      </c>
      <c r="I181">
        <f t="shared" si="4"/>
        <v>0.12624900360518176</v>
      </c>
      <c r="L181" s="22">
        <v>0.77517639000000005</v>
      </c>
      <c r="N181">
        <f t="shared" si="5"/>
        <v>21.269739678642821</v>
      </c>
    </row>
    <row r="182" spans="1:14" ht="20" x14ac:dyDescent="0.2">
      <c r="A182" s="21">
        <v>73</v>
      </c>
      <c r="B182" s="6">
        <v>45695</v>
      </c>
      <c r="C182" s="5">
        <v>3.79</v>
      </c>
      <c r="D182" s="5">
        <v>334301</v>
      </c>
      <c r="E182" s="5" t="s">
        <v>506</v>
      </c>
      <c r="F182" s="5" t="s">
        <v>507</v>
      </c>
      <c r="G182" s="5" t="s">
        <v>506</v>
      </c>
      <c r="I182">
        <f t="shared" si="4"/>
        <v>9.6894547709027945E-2</v>
      </c>
      <c r="L182" s="22">
        <v>2.3176218999999998</v>
      </c>
      <c r="N182">
        <f t="shared" si="5"/>
        <v>19.180998702593129</v>
      </c>
    </row>
    <row r="183" spans="1:14" ht="20" x14ac:dyDescent="0.2">
      <c r="A183" s="21">
        <v>72</v>
      </c>
      <c r="B183" s="6">
        <v>45664</v>
      </c>
      <c r="C183" s="5">
        <v>3.44</v>
      </c>
      <c r="D183" s="5">
        <v>142035</v>
      </c>
      <c r="E183" s="5" t="s">
        <v>508</v>
      </c>
      <c r="F183" s="5" t="s">
        <v>509</v>
      </c>
      <c r="G183" s="5" t="s">
        <v>510</v>
      </c>
      <c r="I183">
        <f t="shared" si="4"/>
        <v>1.7595761890379702E-2</v>
      </c>
      <c r="L183" s="22">
        <v>0.53025588999999995</v>
      </c>
      <c r="N183">
        <f t="shared" si="5"/>
        <v>13.480460931200009</v>
      </c>
    </row>
    <row r="184" spans="1:14" ht="20" x14ac:dyDescent="0.2">
      <c r="A184" s="21">
        <v>71</v>
      </c>
      <c r="B184" s="4" t="s">
        <v>511</v>
      </c>
      <c r="C184" s="5">
        <v>3.38</v>
      </c>
      <c r="D184" s="5">
        <v>328653</v>
      </c>
      <c r="E184" s="5" t="s">
        <v>442</v>
      </c>
      <c r="F184" s="5" t="s">
        <v>512</v>
      </c>
      <c r="G184" s="5" t="s">
        <v>513</v>
      </c>
      <c r="I184">
        <f t="shared" si="4"/>
        <v>-9.3156167124416545E-2</v>
      </c>
      <c r="L184" s="22">
        <v>-1.1201972</v>
      </c>
      <c r="N184">
        <f t="shared" si="5"/>
        <v>12.647553992076</v>
      </c>
    </row>
    <row r="185" spans="1:14" ht="20" x14ac:dyDescent="0.2">
      <c r="A185" s="21">
        <v>70</v>
      </c>
      <c r="B185" s="4" t="s">
        <v>514</v>
      </c>
      <c r="C185" s="5">
        <v>3.71</v>
      </c>
      <c r="D185" s="5">
        <v>373601</v>
      </c>
      <c r="E185" s="5" t="s">
        <v>464</v>
      </c>
      <c r="F185" s="5" t="s">
        <v>459</v>
      </c>
      <c r="G185" s="5" t="s">
        <v>515</v>
      </c>
      <c r="I185">
        <f t="shared" si="4"/>
        <v>-5.2505497377930643E-2</v>
      </c>
      <c r="L185" s="22">
        <v>-0.25296380000000002</v>
      </c>
      <c r="N185">
        <f t="shared" si="5"/>
        <v>15.494076580562279</v>
      </c>
    </row>
    <row r="186" spans="1:14" ht="20" x14ac:dyDescent="0.2">
      <c r="A186" s="21">
        <v>69</v>
      </c>
      <c r="B186" s="4" t="s">
        <v>516</v>
      </c>
      <c r="C186" s="5">
        <v>3.91</v>
      </c>
      <c r="D186" s="5">
        <v>229347</v>
      </c>
      <c r="E186" s="5" t="s">
        <v>453</v>
      </c>
      <c r="F186" s="5" t="s">
        <v>459</v>
      </c>
      <c r="G186" s="5" t="s">
        <v>436</v>
      </c>
      <c r="I186">
        <f t="shared" si="4"/>
        <v>1.2870190520535063E-2</v>
      </c>
      <c r="L186" s="22">
        <v>-0.34156510000000001</v>
      </c>
      <c r="N186">
        <f t="shared" si="5"/>
        <v>16.498611960839618</v>
      </c>
    </row>
    <row r="187" spans="1:14" ht="20" x14ac:dyDescent="0.2">
      <c r="A187" s="21">
        <v>68</v>
      </c>
      <c r="B187" s="4" t="s">
        <v>517</v>
      </c>
      <c r="C187" s="5">
        <v>3.86</v>
      </c>
      <c r="D187" s="5">
        <v>543537</v>
      </c>
      <c r="E187" s="5" t="s">
        <v>443</v>
      </c>
      <c r="F187" s="5" t="s">
        <v>518</v>
      </c>
      <c r="G187" s="5" t="s">
        <v>519</v>
      </c>
      <c r="I187">
        <f t="shared" si="4"/>
        <v>-7.7419741536155495E-3</v>
      </c>
      <c r="L187" s="22">
        <v>0.86587292999999999</v>
      </c>
      <c r="N187">
        <f t="shared" si="5"/>
        <v>17.821682024606655</v>
      </c>
    </row>
    <row r="188" spans="1:14" ht="20" x14ac:dyDescent="0.2">
      <c r="A188" s="21">
        <v>67</v>
      </c>
      <c r="B188" s="4" t="s">
        <v>520</v>
      </c>
      <c r="C188" s="5">
        <v>3.89</v>
      </c>
      <c r="D188" s="5">
        <v>1288222</v>
      </c>
      <c r="E188" s="5" t="s">
        <v>445</v>
      </c>
      <c r="F188" s="5" t="s">
        <v>466</v>
      </c>
      <c r="G188" s="5" t="s">
        <v>521</v>
      </c>
      <c r="I188">
        <f t="shared" si="4"/>
        <v>5.821749556387612E-2</v>
      </c>
      <c r="L188" s="22">
        <v>0.75005319999999998</v>
      </c>
      <c r="N188">
        <f t="shared" si="5"/>
        <v>15.837662340190965</v>
      </c>
    </row>
    <row r="189" spans="1:14" ht="20" x14ac:dyDescent="0.2">
      <c r="A189" s="21">
        <v>66</v>
      </c>
      <c r="B189" s="4" t="s">
        <v>522</v>
      </c>
      <c r="C189" s="5">
        <v>3.67</v>
      </c>
      <c r="D189" s="5">
        <v>737446</v>
      </c>
      <c r="E189" s="5" t="s">
        <v>523</v>
      </c>
      <c r="F189" s="5" t="s">
        <v>524</v>
      </c>
      <c r="G189" s="5" t="s">
        <v>525</v>
      </c>
      <c r="I189">
        <f t="shared" si="4"/>
        <v>-0.12532341220669307</v>
      </c>
      <c r="L189" s="22">
        <v>0.50837385000000002</v>
      </c>
      <c r="N189">
        <f t="shared" si="5"/>
        <v>14.34048042817308</v>
      </c>
    </row>
    <row r="190" spans="1:14" ht="20" x14ac:dyDescent="0.2">
      <c r="A190" s="21">
        <v>65</v>
      </c>
      <c r="B190" s="4" t="s">
        <v>526</v>
      </c>
      <c r="C190" s="5">
        <v>4.16</v>
      </c>
      <c r="D190" s="5">
        <v>650578</v>
      </c>
      <c r="E190" s="5" t="s">
        <v>482</v>
      </c>
      <c r="F190" s="5" t="s">
        <v>527</v>
      </c>
      <c r="G190" s="5" t="s">
        <v>441</v>
      </c>
      <c r="I190">
        <f t="shared" si="4"/>
        <v>-3.0771658666753687E-2</v>
      </c>
      <c r="L190" s="22">
        <v>0.88952796999999995</v>
      </c>
      <c r="N190">
        <f t="shared" si="5"/>
        <v>13.502107496936178</v>
      </c>
    </row>
    <row r="191" spans="1:14" ht="20" x14ac:dyDescent="0.2">
      <c r="A191" s="21">
        <v>64</v>
      </c>
      <c r="B191" s="4" t="s">
        <v>528</v>
      </c>
      <c r="C191" s="5">
        <v>4.29</v>
      </c>
      <c r="D191" s="5">
        <v>836949</v>
      </c>
      <c r="E191" s="5" t="s">
        <v>529</v>
      </c>
      <c r="F191" s="5" t="s">
        <v>530</v>
      </c>
      <c r="G191" s="5" t="s">
        <v>461</v>
      </c>
      <c r="I191">
        <f t="shared" si="4"/>
        <v>-7.842763329823832E-2</v>
      </c>
      <c r="L191" s="22">
        <v>-0.7456313</v>
      </c>
      <c r="N191">
        <f t="shared" si="5"/>
        <v>11.953179192069928</v>
      </c>
    </row>
    <row r="192" spans="1:14" ht="20" x14ac:dyDescent="0.2">
      <c r="A192" s="21">
        <v>63</v>
      </c>
      <c r="B192" s="4" t="s">
        <v>531</v>
      </c>
      <c r="C192" s="5">
        <v>4.6399999999999997</v>
      </c>
      <c r="D192" s="5">
        <v>1592557</v>
      </c>
      <c r="E192" s="5" t="s">
        <v>532</v>
      </c>
      <c r="F192" s="5" t="s">
        <v>533</v>
      </c>
      <c r="G192" s="5" t="s">
        <v>532</v>
      </c>
      <c r="I192">
        <f t="shared" si="4"/>
        <v>0.11886120287672886</v>
      </c>
      <c r="L192" s="22">
        <v>1.4951603200000001</v>
      </c>
      <c r="N192">
        <f t="shared" si="5"/>
        <v>13.783168648722452</v>
      </c>
    </row>
    <row r="193" spans="1:14" ht="20" x14ac:dyDescent="0.2">
      <c r="A193" s="21">
        <v>62</v>
      </c>
      <c r="B193" s="4" t="s">
        <v>534</v>
      </c>
      <c r="C193" s="5">
        <v>4.12</v>
      </c>
      <c r="D193" s="5">
        <v>7134869</v>
      </c>
      <c r="E193" s="5" t="s">
        <v>535</v>
      </c>
      <c r="F193" s="5" t="s">
        <v>462</v>
      </c>
      <c r="G193" s="5" t="s">
        <v>536</v>
      </c>
      <c r="I193">
        <f t="shared" si="4"/>
        <v>0.35114242636900683</v>
      </c>
      <c r="L193" s="22">
        <v>-0.80598579999999997</v>
      </c>
      <c r="N193">
        <f t="shared" si="5"/>
        <v>11.064127739766105</v>
      </c>
    </row>
    <row r="194" spans="1:14" ht="20" x14ac:dyDescent="0.2">
      <c r="A194" s="21">
        <v>61</v>
      </c>
      <c r="B194" s="4" t="s">
        <v>537</v>
      </c>
      <c r="C194" s="5">
        <v>2.9</v>
      </c>
      <c r="D194" s="5">
        <v>2585771</v>
      </c>
      <c r="E194" s="5" t="s">
        <v>538</v>
      </c>
      <c r="F194" s="5" t="s">
        <v>539</v>
      </c>
      <c r="G194" s="5" t="s">
        <v>348</v>
      </c>
      <c r="I194">
        <f t="shared" si="4"/>
        <v>-0.70514389684757695</v>
      </c>
      <c r="L194" s="22">
        <v>-0.84221020000000002</v>
      </c>
      <c r="N194">
        <f t="shared" si="5"/>
        <v>12.883075275914635</v>
      </c>
    </row>
    <row r="195" spans="1:14" ht="20" x14ac:dyDescent="0.2">
      <c r="A195" s="21">
        <v>60</v>
      </c>
      <c r="B195" s="6">
        <v>45997</v>
      </c>
      <c r="C195" s="5">
        <v>5.87</v>
      </c>
      <c r="D195" s="5">
        <v>1145091</v>
      </c>
      <c r="E195" s="5" t="s">
        <v>540</v>
      </c>
      <c r="F195" s="5" t="s">
        <v>541</v>
      </c>
      <c r="G195" s="5" t="s">
        <v>542</v>
      </c>
      <c r="I195">
        <f t="shared" si="4"/>
        <v>-9.577468395450528E-2</v>
      </c>
      <c r="L195" s="22">
        <v>0.87185007000000003</v>
      </c>
      <c r="N195">
        <f t="shared" si="5"/>
        <v>15.089149544356362</v>
      </c>
    </row>
    <row r="196" spans="1:14" ht="20" x14ac:dyDescent="0.2">
      <c r="A196" s="21">
        <v>59</v>
      </c>
      <c r="B196" s="6">
        <v>45967</v>
      </c>
      <c r="C196" s="5">
        <v>6.46</v>
      </c>
      <c r="D196" s="5">
        <v>1638418</v>
      </c>
      <c r="E196" s="5" t="s">
        <v>543</v>
      </c>
      <c r="F196" s="5" t="s">
        <v>544</v>
      </c>
      <c r="G196" s="5" t="s">
        <v>545</v>
      </c>
      <c r="I196">
        <f t="shared" si="4"/>
        <v>-0.12087422822605642</v>
      </c>
      <c r="L196" s="22">
        <v>0.25870961999999997</v>
      </c>
      <c r="N196">
        <f t="shared" si="5"/>
        <v>13.396383525371313</v>
      </c>
    </row>
    <row r="197" spans="1:14" ht="20" x14ac:dyDescent="0.2">
      <c r="A197" s="21">
        <v>58</v>
      </c>
      <c r="B197" s="6">
        <v>45936</v>
      </c>
      <c r="C197" s="5">
        <v>7.29</v>
      </c>
      <c r="D197" s="5">
        <v>9844459</v>
      </c>
      <c r="E197" s="5" t="s">
        <v>546</v>
      </c>
      <c r="F197" s="5" t="s">
        <v>547</v>
      </c>
      <c r="G197" s="5" t="s">
        <v>491</v>
      </c>
      <c r="I197">
        <f t="shared" ref="I197:I253" si="6">LN(C197)-LN(C198)</f>
        <v>0.27993892285574384</v>
      </c>
      <c r="L197" s="22">
        <v>-4.3819700000000003E-2</v>
      </c>
      <c r="N197">
        <f t="shared" ref="N197:N252" si="7">N198*EXP((($P$3-$P$4/2)+$P$5*L197))</f>
        <v>13.132614268223481</v>
      </c>
    </row>
    <row r="198" spans="1:14" ht="20" x14ac:dyDescent="0.2">
      <c r="A198" s="21">
        <v>57</v>
      </c>
      <c r="B198" s="6">
        <v>45906</v>
      </c>
      <c r="C198" s="5">
        <v>5.51</v>
      </c>
      <c r="D198" s="5">
        <v>7535911</v>
      </c>
      <c r="E198" s="5" t="s">
        <v>445</v>
      </c>
      <c r="F198" s="5" t="s">
        <v>548</v>
      </c>
      <c r="G198" s="5" t="s">
        <v>549</v>
      </c>
      <c r="I198">
        <f t="shared" si="6"/>
        <v>0.48278919154270739</v>
      </c>
      <c r="L198" s="22">
        <v>1.2067650400000001</v>
      </c>
      <c r="N198">
        <f t="shared" si="7"/>
        <v>13.51921723529016</v>
      </c>
    </row>
    <row r="199" spans="1:14" ht="20" x14ac:dyDescent="0.2">
      <c r="A199" s="21">
        <v>56</v>
      </c>
      <c r="B199" s="6">
        <v>45814</v>
      </c>
      <c r="C199" s="5">
        <v>3.4</v>
      </c>
      <c r="D199" s="5">
        <v>1016396</v>
      </c>
      <c r="E199" s="5" t="s">
        <v>455</v>
      </c>
      <c r="F199" s="5" t="s">
        <v>550</v>
      </c>
      <c r="G199" s="5" t="s">
        <v>551</v>
      </c>
      <c r="I199">
        <f t="shared" si="6"/>
        <v>-4.8790164169431938E-2</v>
      </c>
      <c r="L199" s="22">
        <v>2.9549227</v>
      </c>
      <c r="N199">
        <f t="shared" si="7"/>
        <v>11.370098542146998</v>
      </c>
    </row>
    <row r="200" spans="1:14" ht="20" x14ac:dyDescent="0.2">
      <c r="A200" s="21">
        <v>55</v>
      </c>
      <c r="B200" s="6">
        <v>45783</v>
      </c>
      <c r="C200" s="5">
        <v>3.57</v>
      </c>
      <c r="D200" s="5">
        <v>4141270</v>
      </c>
      <c r="E200" s="5" t="s">
        <v>552</v>
      </c>
      <c r="F200" s="5" t="s">
        <v>553</v>
      </c>
      <c r="G200" s="5" t="s">
        <v>554</v>
      </c>
      <c r="I200">
        <f t="shared" si="6"/>
        <v>-0.22705745063534621</v>
      </c>
      <c r="L200" s="22">
        <v>1.0607347</v>
      </c>
      <c r="N200">
        <f t="shared" si="7"/>
        <v>7.2087664794427146</v>
      </c>
    </row>
    <row r="201" spans="1:14" ht="20" x14ac:dyDescent="0.2">
      <c r="A201" s="21">
        <v>54</v>
      </c>
      <c r="B201" s="6">
        <v>45753</v>
      </c>
      <c r="C201" s="5">
        <v>4.4800000000000004</v>
      </c>
      <c r="D201" s="5">
        <v>116715200</v>
      </c>
      <c r="E201" s="5" t="s">
        <v>485</v>
      </c>
      <c r="F201" s="5" t="s">
        <v>555</v>
      </c>
      <c r="G201" s="5" t="s">
        <v>556</v>
      </c>
      <c r="I201">
        <f t="shared" si="6"/>
        <v>0.84729786038720367</v>
      </c>
      <c r="L201" s="22">
        <v>0.23148626999999999</v>
      </c>
      <c r="N201">
        <f t="shared" si="7"/>
        <v>6.2076121617765088</v>
      </c>
    </row>
    <row r="202" spans="1:14" ht="20" x14ac:dyDescent="0.2">
      <c r="A202" s="21">
        <v>53</v>
      </c>
      <c r="B202" s="6">
        <v>45722</v>
      </c>
      <c r="C202" s="5">
        <v>1.92</v>
      </c>
      <c r="D202" s="5">
        <v>435771</v>
      </c>
      <c r="E202" s="5" t="s">
        <v>279</v>
      </c>
      <c r="F202" s="5" t="s">
        <v>299</v>
      </c>
      <c r="G202" s="5" t="s">
        <v>557</v>
      </c>
      <c r="I202">
        <f t="shared" si="6"/>
        <v>0.13394814612086503</v>
      </c>
      <c r="L202" s="22">
        <v>-0.7989868</v>
      </c>
      <c r="N202">
        <f t="shared" si="7"/>
        <v>6.11222308664839</v>
      </c>
    </row>
    <row r="203" spans="1:14" ht="20" x14ac:dyDescent="0.2">
      <c r="A203" s="21">
        <v>52</v>
      </c>
      <c r="B203" s="6">
        <v>45694</v>
      </c>
      <c r="C203" s="5">
        <v>1.6793</v>
      </c>
      <c r="D203" s="5">
        <v>44199</v>
      </c>
      <c r="E203" s="5" t="s">
        <v>275</v>
      </c>
      <c r="F203" s="5" t="s">
        <v>558</v>
      </c>
      <c r="G203" s="5" t="s">
        <v>559</v>
      </c>
      <c r="I203">
        <f t="shared" si="6"/>
        <v>1.7601752006335958E-2</v>
      </c>
      <c r="L203" s="22">
        <v>0.62370406</v>
      </c>
      <c r="N203">
        <f t="shared" si="7"/>
        <v>7.1090283992543988</v>
      </c>
    </row>
    <row r="204" spans="1:14" ht="20" x14ac:dyDescent="0.2">
      <c r="A204" s="21">
        <v>51</v>
      </c>
      <c r="B204" s="4" t="s">
        <v>560</v>
      </c>
      <c r="C204" s="5">
        <v>1.65</v>
      </c>
      <c r="D204" s="5">
        <v>85549</v>
      </c>
      <c r="E204" s="5" t="s">
        <v>557</v>
      </c>
      <c r="F204" s="5" t="s">
        <v>561</v>
      </c>
      <c r="G204" s="5" t="s">
        <v>271</v>
      </c>
      <c r="I204">
        <f t="shared" si="6"/>
        <v>6.0790460763821552E-3</v>
      </c>
      <c r="L204" s="22">
        <v>-0.11218500000000001</v>
      </c>
      <c r="N204">
        <f t="shared" si="7"/>
        <v>6.5698013734769809</v>
      </c>
    </row>
    <row r="205" spans="1:14" ht="20" x14ac:dyDescent="0.2">
      <c r="A205" s="21">
        <v>50</v>
      </c>
      <c r="B205" s="4" t="s">
        <v>562</v>
      </c>
      <c r="C205" s="5">
        <v>1.64</v>
      </c>
      <c r="D205" s="5">
        <v>61057</v>
      </c>
      <c r="E205" s="5" t="s">
        <v>282</v>
      </c>
      <c r="F205" s="5" t="s">
        <v>563</v>
      </c>
      <c r="G205" s="5" t="s">
        <v>564</v>
      </c>
      <c r="I205">
        <f t="shared" si="6"/>
        <v>-2.7069321968218041E-2</v>
      </c>
      <c r="L205" s="22">
        <v>-0.27113399999999999</v>
      </c>
      <c r="N205">
        <f t="shared" si="7"/>
        <v>6.8383552361413882</v>
      </c>
    </row>
    <row r="206" spans="1:14" ht="20" x14ac:dyDescent="0.2">
      <c r="A206" s="21">
        <v>49</v>
      </c>
      <c r="B206" s="4" t="s">
        <v>565</v>
      </c>
      <c r="C206" s="5">
        <v>1.6850000000000001</v>
      </c>
      <c r="D206" s="5">
        <v>41877</v>
      </c>
      <c r="E206" s="5" t="s">
        <v>566</v>
      </c>
      <c r="F206" s="5" t="s">
        <v>567</v>
      </c>
      <c r="G206" s="5" t="s">
        <v>274</v>
      </c>
      <c r="I206">
        <f t="shared" si="6"/>
        <v>6.4340716765449557E-2</v>
      </c>
      <c r="L206" s="22">
        <v>-0.80168510000000004</v>
      </c>
      <c r="N206">
        <f t="shared" si="7"/>
        <v>7.3031272310100803</v>
      </c>
    </row>
    <row r="207" spans="1:14" ht="20" x14ac:dyDescent="0.2">
      <c r="A207" s="21">
        <v>48</v>
      </c>
      <c r="B207" s="4" t="s">
        <v>568</v>
      </c>
      <c r="C207" s="5">
        <v>1.58</v>
      </c>
      <c r="D207" s="5">
        <v>319919</v>
      </c>
      <c r="E207" s="5" t="s">
        <v>569</v>
      </c>
      <c r="F207" s="5" t="s">
        <v>301</v>
      </c>
      <c r="G207" s="5" t="s">
        <v>564</v>
      </c>
      <c r="I207">
        <f t="shared" si="6"/>
        <v>-7.9068523475692987E-2</v>
      </c>
      <c r="L207" s="22">
        <v>0.53697373000000004</v>
      </c>
      <c r="N207">
        <f t="shared" si="7"/>
        <v>8.497855312295707</v>
      </c>
    </row>
    <row r="208" spans="1:14" ht="20" x14ac:dyDescent="0.2">
      <c r="A208" s="21">
        <v>47</v>
      </c>
      <c r="B208" s="4" t="s">
        <v>570</v>
      </c>
      <c r="C208" s="5">
        <v>1.71</v>
      </c>
      <c r="D208" s="5">
        <v>128401</v>
      </c>
      <c r="E208" s="5" t="s">
        <v>567</v>
      </c>
      <c r="F208" s="5" t="s">
        <v>291</v>
      </c>
      <c r="G208" s="5" t="s">
        <v>285</v>
      </c>
      <c r="I208">
        <f t="shared" si="6"/>
        <v>1.7699577099400954E-2</v>
      </c>
      <c r="L208" s="22">
        <v>1.5009345199999999</v>
      </c>
      <c r="N208">
        <f t="shared" si="7"/>
        <v>7.9641523286639746</v>
      </c>
    </row>
    <row r="209" spans="1:14" ht="20" x14ac:dyDescent="0.2">
      <c r="A209" s="21">
        <v>46</v>
      </c>
      <c r="B209" s="4" t="s">
        <v>571</v>
      </c>
      <c r="C209" s="5">
        <v>1.68</v>
      </c>
      <c r="D209" s="5">
        <v>127544</v>
      </c>
      <c r="E209" s="5" t="s">
        <v>285</v>
      </c>
      <c r="F209" s="5" t="s">
        <v>286</v>
      </c>
      <c r="G209" s="5" t="s">
        <v>559</v>
      </c>
      <c r="I209">
        <f t="shared" si="6"/>
        <v>-3.5091319811270116E-2</v>
      </c>
      <c r="L209" s="22">
        <v>0.81059678999999996</v>
      </c>
      <c r="N209">
        <f t="shared" si="7"/>
        <v>6.3870797067317193</v>
      </c>
    </row>
    <row r="210" spans="1:14" ht="20" x14ac:dyDescent="0.2">
      <c r="A210" s="21">
        <v>45</v>
      </c>
      <c r="B210" s="4" t="s">
        <v>572</v>
      </c>
      <c r="C210" s="5">
        <v>1.74</v>
      </c>
      <c r="D210" s="5">
        <v>186279</v>
      </c>
      <c r="E210" s="5" t="s">
        <v>573</v>
      </c>
      <c r="F210" s="5" t="s">
        <v>404</v>
      </c>
      <c r="G210" s="5" t="s">
        <v>574</v>
      </c>
      <c r="I210">
        <f t="shared" si="6"/>
        <v>-5.7306747089850285E-3</v>
      </c>
      <c r="L210" s="22">
        <v>1.90898591</v>
      </c>
      <c r="N210">
        <f t="shared" si="7"/>
        <v>5.7269706936847777</v>
      </c>
    </row>
    <row r="211" spans="1:14" ht="20" x14ac:dyDescent="0.2">
      <c r="A211" s="21">
        <v>44</v>
      </c>
      <c r="B211" s="4" t="s">
        <v>575</v>
      </c>
      <c r="C211" s="5">
        <v>1.75</v>
      </c>
      <c r="D211" s="5">
        <v>252202</v>
      </c>
      <c r="E211" s="5" t="s">
        <v>286</v>
      </c>
      <c r="F211" s="5" t="s">
        <v>297</v>
      </c>
      <c r="G211" s="5" t="s">
        <v>282</v>
      </c>
      <c r="I211">
        <f t="shared" si="6"/>
        <v>-7.6961041136128339E-2</v>
      </c>
      <c r="L211" s="22">
        <v>-1.1138018000000001</v>
      </c>
      <c r="N211">
        <f t="shared" si="7"/>
        <v>4.2997542196642122</v>
      </c>
    </row>
    <row r="212" spans="1:14" ht="20" x14ac:dyDescent="0.2">
      <c r="A212" s="21">
        <v>43</v>
      </c>
      <c r="B212" s="4" t="s">
        <v>576</v>
      </c>
      <c r="C212" s="5">
        <v>1.89</v>
      </c>
      <c r="D212" s="5">
        <v>577389</v>
      </c>
      <c r="E212" s="5" t="s">
        <v>263</v>
      </c>
      <c r="F212" s="5" t="s">
        <v>402</v>
      </c>
      <c r="G212" s="5" t="s">
        <v>573</v>
      </c>
      <c r="I212">
        <f t="shared" si="6"/>
        <v>-7.1458963982144907E-2</v>
      </c>
      <c r="L212" s="22">
        <v>0.68093610999999998</v>
      </c>
      <c r="N212">
        <f t="shared" si="7"/>
        <v>5.2620363957361631</v>
      </c>
    </row>
    <row r="213" spans="1:14" ht="20" x14ac:dyDescent="0.2">
      <c r="A213" s="21">
        <v>42</v>
      </c>
      <c r="B213" s="4" t="s">
        <v>577</v>
      </c>
      <c r="C213" s="5">
        <v>2.0299999999999998</v>
      </c>
      <c r="D213" s="5">
        <v>635240</v>
      </c>
      <c r="E213" s="5" t="s">
        <v>287</v>
      </c>
      <c r="F213" s="5" t="s">
        <v>392</v>
      </c>
      <c r="G213" s="5" t="s">
        <v>283</v>
      </c>
      <c r="I213">
        <f t="shared" si="6"/>
        <v>0.12582017320103223</v>
      </c>
      <c r="L213" s="22">
        <v>6.2025660000000003E-2</v>
      </c>
      <c r="N213">
        <f t="shared" si="7"/>
        <v>4.818127657099434</v>
      </c>
    </row>
    <row r="214" spans="1:14" ht="20" x14ac:dyDescent="0.2">
      <c r="A214" s="21">
        <v>41</v>
      </c>
      <c r="B214" s="4" t="s">
        <v>578</v>
      </c>
      <c r="C214" s="5">
        <v>1.79</v>
      </c>
      <c r="D214" s="5">
        <v>1571653</v>
      </c>
      <c r="E214" s="5" t="s">
        <v>370</v>
      </c>
      <c r="F214" s="5" t="s">
        <v>579</v>
      </c>
      <c r="G214" s="5" t="s">
        <v>580</v>
      </c>
      <c r="I214">
        <f t="shared" si="6"/>
        <v>-0.37329582517477267</v>
      </c>
      <c r="L214" s="22">
        <v>1.03212372</v>
      </c>
      <c r="N214">
        <f t="shared" si="7"/>
        <v>4.8758305255232965</v>
      </c>
    </row>
    <row r="215" spans="1:14" ht="20" x14ac:dyDescent="0.2">
      <c r="A215" s="21">
        <v>40</v>
      </c>
      <c r="B215" s="4" t="s">
        <v>581</v>
      </c>
      <c r="C215" s="5">
        <v>2.6</v>
      </c>
      <c r="D215" s="5">
        <v>807176</v>
      </c>
      <c r="E215" s="5" t="s">
        <v>361</v>
      </c>
      <c r="F215" s="5" t="s">
        <v>582</v>
      </c>
      <c r="G215" s="5" t="s">
        <v>300</v>
      </c>
      <c r="I215">
        <f t="shared" si="6"/>
        <v>-0.12629372532429206</v>
      </c>
      <c r="L215" s="22">
        <v>0.35133567999999998</v>
      </c>
      <c r="N215">
        <f t="shared" si="7"/>
        <v>4.2181365406053288</v>
      </c>
    </row>
    <row r="216" spans="1:14" ht="20" x14ac:dyDescent="0.2">
      <c r="A216" s="21">
        <v>39</v>
      </c>
      <c r="B216" s="4" t="s">
        <v>583</v>
      </c>
      <c r="C216" s="5">
        <v>2.95</v>
      </c>
      <c r="D216" s="5">
        <v>20394</v>
      </c>
      <c r="E216" s="5" t="s">
        <v>584</v>
      </c>
      <c r="F216" s="5" t="s">
        <v>585</v>
      </c>
      <c r="G216" s="5" t="s">
        <v>586</v>
      </c>
      <c r="I216">
        <f t="shared" si="6"/>
        <v>-0.89227585567028123</v>
      </c>
      <c r="L216" s="22">
        <v>0.68224335999999997</v>
      </c>
      <c r="N216">
        <f t="shared" si="7"/>
        <v>4.0736353428664973</v>
      </c>
    </row>
    <row r="217" spans="1:14" ht="20" x14ac:dyDescent="0.2">
      <c r="A217" s="21">
        <v>38</v>
      </c>
      <c r="B217" s="6">
        <v>45996</v>
      </c>
      <c r="C217" s="5">
        <v>7.2</v>
      </c>
      <c r="D217" s="5">
        <v>2605</v>
      </c>
      <c r="E217" s="5" t="s">
        <v>587</v>
      </c>
      <c r="F217" s="5" t="s">
        <v>587</v>
      </c>
      <c r="G217" s="5" t="s">
        <v>587</v>
      </c>
      <c r="I217">
        <f t="shared" si="6"/>
        <v>0</v>
      </c>
      <c r="L217" s="22">
        <v>-6.5237100000000006E-2</v>
      </c>
      <c r="N217">
        <f t="shared" si="7"/>
        <v>3.7291928201267774</v>
      </c>
    </row>
    <row r="218" spans="1:14" ht="20" x14ac:dyDescent="0.2">
      <c r="A218" s="21">
        <v>37</v>
      </c>
      <c r="B218" s="6">
        <v>45905</v>
      </c>
      <c r="C218" s="5">
        <v>7.2</v>
      </c>
      <c r="D218" s="5">
        <v>2103</v>
      </c>
      <c r="E218" s="5" t="s">
        <v>588</v>
      </c>
      <c r="F218" s="5" t="s">
        <v>587</v>
      </c>
      <c r="G218" s="5" t="s">
        <v>588</v>
      </c>
      <c r="I218">
        <f t="shared" si="6"/>
        <v>2.8170876966696401E-2</v>
      </c>
      <c r="L218" s="22">
        <v>0.71272234999999995</v>
      </c>
      <c r="N218">
        <f t="shared" si="7"/>
        <v>3.8522870557651827</v>
      </c>
    </row>
    <row r="219" spans="1:14" ht="20" x14ac:dyDescent="0.2">
      <c r="A219" s="21">
        <v>36</v>
      </c>
      <c r="B219" s="6">
        <v>45874</v>
      </c>
      <c r="C219" s="5">
        <v>7</v>
      </c>
      <c r="D219" s="5">
        <v>2500</v>
      </c>
      <c r="E219" s="5" t="s">
        <v>587</v>
      </c>
      <c r="F219" s="5" t="s">
        <v>589</v>
      </c>
      <c r="G219" s="5" t="s">
        <v>590</v>
      </c>
      <c r="I219">
        <f t="shared" si="6"/>
        <v>-1.4184634991956546E-2</v>
      </c>
      <c r="L219" s="22">
        <v>0.76645976000000005</v>
      </c>
      <c r="N219">
        <f t="shared" si="7"/>
        <v>3.5092296325910985</v>
      </c>
    </row>
    <row r="220" spans="1:14" ht="20" x14ac:dyDescent="0.2">
      <c r="A220" s="21">
        <v>35</v>
      </c>
      <c r="B220" s="6">
        <v>45843</v>
      </c>
      <c r="C220" s="5">
        <v>7.1</v>
      </c>
      <c r="D220" s="5">
        <v>2200</v>
      </c>
      <c r="E220" s="5" t="s">
        <v>591</v>
      </c>
      <c r="F220" s="5" t="s">
        <v>591</v>
      </c>
      <c r="G220" s="5" t="s">
        <v>592</v>
      </c>
      <c r="I220">
        <f t="shared" si="6"/>
        <v>-1.3986241974739855E-2</v>
      </c>
      <c r="L220" s="22">
        <v>0.35475512999999997</v>
      </c>
      <c r="N220">
        <f t="shared" si="7"/>
        <v>3.1690764290822195</v>
      </c>
    </row>
    <row r="221" spans="1:14" ht="20" x14ac:dyDescent="0.2">
      <c r="A221" s="21">
        <v>34</v>
      </c>
      <c r="B221" s="6">
        <v>45813</v>
      </c>
      <c r="C221" s="5">
        <v>7.2</v>
      </c>
      <c r="D221" s="5">
        <v>2100</v>
      </c>
      <c r="E221" s="5" t="s">
        <v>587</v>
      </c>
      <c r="F221" s="5" t="s">
        <v>593</v>
      </c>
      <c r="G221" s="5" t="s">
        <v>590</v>
      </c>
      <c r="I221">
        <f t="shared" si="6"/>
        <v>1.3986241974739855E-2</v>
      </c>
      <c r="L221" s="22">
        <v>5.0887000000000002E-2</v>
      </c>
      <c r="N221">
        <f t="shared" si="7"/>
        <v>3.0588219170138151</v>
      </c>
    </row>
    <row r="222" spans="1:14" ht="20" x14ac:dyDescent="0.2">
      <c r="A222" s="21">
        <v>33</v>
      </c>
      <c r="B222" s="6">
        <v>45782</v>
      </c>
      <c r="C222" s="5">
        <v>7.1</v>
      </c>
      <c r="D222" s="5">
        <v>2172</v>
      </c>
      <c r="E222" s="5" t="s">
        <v>587</v>
      </c>
      <c r="F222" s="5" t="s">
        <v>594</v>
      </c>
      <c r="G222" s="5" t="s">
        <v>592</v>
      </c>
      <c r="I222">
        <f t="shared" si="6"/>
        <v>-3.4605529177475391E-2</v>
      </c>
      <c r="L222" s="22">
        <v>-4.8955499999999999E-2</v>
      </c>
      <c r="N222">
        <f t="shared" si="7"/>
        <v>3.1010330629313518</v>
      </c>
    </row>
    <row r="223" spans="1:14" ht="20" x14ac:dyDescent="0.2">
      <c r="A223" s="21">
        <v>32</v>
      </c>
      <c r="B223" s="6">
        <v>45693</v>
      </c>
      <c r="C223" s="5">
        <v>7.35</v>
      </c>
      <c r="D223" s="5">
        <v>2400</v>
      </c>
      <c r="E223" s="5" t="s">
        <v>591</v>
      </c>
      <c r="F223" s="5" t="s">
        <v>595</v>
      </c>
      <c r="G223" s="5" t="s">
        <v>587</v>
      </c>
      <c r="I223">
        <f t="shared" si="6"/>
        <v>4.8790164169431938E-2</v>
      </c>
      <c r="L223" s="22">
        <v>-0.64214890000000002</v>
      </c>
      <c r="N223">
        <f t="shared" si="7"/>
        <v>3.1949736023734339</v>
      </c>
    </row>
    <row r="224" spans="1:14" ht="20" x14ac:dyDescent="0.2">
      <c r="A224" s="21">
        <v>31</v>
      </c>
      <c r="B224" s="6">
        <v>45662</v>
      </c>
      <c r="C224" s="5">
        <v>7</v>
      </c>
      <c r="D224" s="5">
        <v>2807</v>
      </c>
      <c r="E224" s="5" t="s">
        <v>591</v>
      </c>
      <c r="F224" s="5" t="s">
        <v>584</v>
      </c>
      <c r="G224" s="5" t="s">
        <v>590</v>
      </c>
      <c r="I224">
        <f t="shared" si="6"/>
        <v>0.84729786038720345</v>
      </c>
      <c r="L224" s="22">
        <v>-0.67167410000000005</v>
      </c>
      <c r="N224">
        <f t="shared" si="7"/>
        <v>3.6230032937521415</v>
      </c>
    </row>
    <row r="225" spans="1:14" ht="20" x14ac:dyDescent="0.2">
      <c r="A225" s="21">
        <v>30</v>
      </c>
      <c r="B225" s="4" t="s">
        <v>596</v>
      </c>
      <c r="C225" s="5">
        <v>3</v>
      </c>
      <c r="D225" s="5">
        <v>715</v>
      </c>
      <c r="E225" s="5" t="s">
        <v>579</v>
      </c>
      <c r="F225" s="5" t="s">
        <v>579</v>
      </c>
      <c r="G225" s="5" t="s">
        <v>579</v>
      </c>
      <c r="I225">
        <f t="shared" si="6"/>
        <v>-0.98082925301172597</v>
      </c>
      <c r="L225" s="22">
        <v>-1.0080960000000001</v>
      </c>
      <c r="N225">
        <f t="shared" si="7"/>
        <v>4.1280293161832198</v>
      </c>
    </row>
    <row r="226" spans="1:14" ht="20" x14ac:dyDescent="0.2">
      <c r="A226" s="21">
        <v>29</v>
      </c>
      <c r="B226" s="4" t="s">
        <v>597</v>
      </c>
      <c r="C226" s="5">
        <v>8</v>
      </c>
      <c r="D226" s="5">
        <v>0</v>
      </c>
      <c r="E226" s="5" t="s">
        <v>598</v>
      </c>
      <c r="F226" s="5" t="s">
        <v>598</v>
      </c>
      <c r="G226" s="5" t="s">
        <v>598</v>
      </c>
      <c r="I226">
        <f t="shared" si="6"/>
        <v>0</v>
      </c>
      <c r="L226" s="22">
        <v>0.65176791000000001</v>
      </c>
      <c r="N226">
        <f t="shared" si="7"/>
        <v>4.9662974445744981</v>
      </c>
    </row>
    <row r="227" spans="1:14" ht="20" x14ac:dyDescent="0.2">
      <c r="A227" s="21">
        <v>28</v>
      </c>
      <c r="B227" s="4" t="s">
        <v>599</v>
      </c>
      <c r="C227" s="5">
        <v>8</v>
      </c>
      <c r="D227" s="5">
        <v>0</v>
      </c>
      <c r="E227" s="5" t="s">
        <v>598</v>
      </c>
      <c r="F227" s="5" t="s">
        <v>598</v>
      </c>
      <c r="G227" s="5" t="s">
        <v>598</v>
      </c>
      <c r="I227">
        <f t="shared" si="6"/>
        <v>0</v>
      </c>
      <c r="L227" s="22">
        <v>-0.81025769999999997</v>
      </c>
      <c r="N227">
        <f t="shared" si="7"/>
        <v>4.5688269708405844</v>
      </c>
    </row>
    <row r="228" spans="1:14" ht="20" x14ac:dyDescent="0.2">
      <c r="A228" s="21">
        <v>27</v>
      </c>
      <c r="B228" s="4" t="s">
        <v>600</v>
      </c>
      <c r="C228" s="5">
        <v>8</v>
      </c>
      <c r="D228" s="5">
        <v>0</v>
      </c>
      <c r="E228" s="5" t="s">
        <v>598</v>
      </c>
      <c r="F228" s="5" t="s">
        <v>598</v>
      </c>
      <c r="G228" s="5" t="s">
        <v>598</v>
      </c>
      <c r="I228">
        <f t="shared" si="6"/>
        <v>0</v>
      </c>
      <c r="L228" s="22">
        <v>-0.41678939999999998</v>
      </c>
      <c r="N228">
        <f t="shared" si="7"/>
        <v>5.323618798080556</v>
      </c>
    </row>
    <row r="229" spans="1:14" ht="20" x14ac:dyDescent="0.2">
      <c r="A229" s="21">
        <v>26</v>
      </c>
      <c r="B229" s="4" t="s">
        <v>601</v>
      </c>
      <c r="C229" s="5">
        <v>8</v>
      </c>
      <c r="D229" s="5">
        <v>0</v>
      </c>
      <c r="E229" s="5" t="s">
        <v>598</v>
      </c>
      <c r="F229" s="5" t="s">
        <v>598</v>
      </c>
      <c r="G229" s="5" t="s">
        <v>598</v>
      </c>
      <c r="I229">
        <f t="shared" si="6"/>
        <v>0</v>
      </c>
      <c r="L229" s="22">
        <v>-0.37912820000000003</v>
      </c>
      <c r="N229">
        <f t="shared" si="7"/>
        <v>5.8208817308769962</v>
      </c>
    </row>
    <row r="230" spans="1:14" ht="20" x14ac:dyDescent="0.2">
      <c r="A230" s="21">
        <v>25</v>
      </c>
      <c r="B230" s="4" t="s">
        <v>602</v>
      </c>
      <c r="C230" s="5">
        <v>8</v>
      </c>
      <c r="D230" s="5">
        <v>0</v>
      </c>
      <c r="E230" s="5" t="s">
        <v>598</v>
      </c>
      <c r="F230" s="5" t="s">
        <v>598</v>
      </c>
      <c r="G230" s="5" t="s">
        <v>598</v>
      </c>
      <c r="I230">
        <f t="shared" si="6"/>
        <v>0</v>
      </c>
      <c r="L230" s="22">
        <v>-0.80008889999999999</v>
      </c>
      <c r="N230">
        <f t="shared" si="7"/>
        <v>6.3259664763272827</v>
      </c>
    </row>
    <row r="231" spans="1:14" ht="20" x14ac:dyDescent="0.2">
      <c r="A231" s="21">
        <v>24</v>
      </c>
      <c r="B231" s="4" t="s">
        <v>603</v>
      </c>
      <c r="C231" s="5">
        <v>8</v>
      </c>
      <c r="D231" s="5">
        <v>0</v>
      </c>
      <c r="E231" s="5" t="s">
        <v>598</v>
      </c>
      <c r="F231" s="5" t="s">
        <v>598</v>
      </c>
      <c r="G231" s="5" t="s">
        <v>598</v>
      </c>
      <c r="I231">
        <f t="shared" si="6"/>
        <v>0</v>
      </c>
      <c r="L231" s="22">
        <v>-0.94183939999999999</v>
      </c>
      <c r="N231">
        <f t="shared" si="7"/>
        <v>7.3589406910808455</v>
      </c>
    </row>
    <row r="232" spans="1:14" ht="20" x14ac:dyDescent="0.2">
      <c r="A232" s="21">
        <v>23</v>
      </c>
      <c r="B232" s="4" t="s">
        <v>604</v>
      </c>
      <c r="C232" s="5">
        <v>8</v>
      </c>
      <c r="D232" s="5">
        <v>0</v>
      </c>
      <c r="E232" s="5" t="s">
        <v>598</v>
      </c>
      <c r="F232" s="5" t="s">
        <v>598</v>
      </c>
      <c r="G232" s="5" t="s">
        <v>598</v>
      </c>
      <c r="I232">
        <f t="shared" si="6"/>
        <v>0</v>
      </c>
      <c r="L232" s="22">
        <v>-1.3943688999999999</v>
      </c>
      <c r="N232">
        <f t="shared" si="7"/>
        <v>8.7589938676435342</v>
      </c>
    </row>
    <row r="233" spans="1:14" ht="20" x14ac:dyDescent="0.2">
      <c r="A233" s="21">
        <v>22</v>
      </c>
      <c r="B233" s="4" t="s">
        <v>605</v>
      </c>
      <c r="C233" s="5">
        <v>8</v>
      </c>
      <c r="D233" s="5">
        <v>0</v>
      </c>
      <c r="E233" s="5" t="s">
        <v>598</v>
      </c>
      <c r="F233" s="5" t="s">
        <v>598</v>
      </c>
      <c r="G233" s="5" t="s">
        <v>598</v>
      </c>
      <c r="I233">
        <f t="shared" si="6"/>
        <v>0</v>
      </c>
      <c r="L233" s="22">
        <v>0.84892840999999997</v>
      </c>
      <c r="N233">
        <f t="shared" si="7"/>
        <v>11.216555054634568</v>
      </c>
    </row>
    <row r="234" spans="1:14" ht="20" x14ac:dyDescent="0.2">
      <c r="A234" s="21">
        <v>21</v>
      </c>
      <c r="B234" s="4" t="s">
        <v>606</v>
      </c>
      <c r="C234" s="5">
        <v>8</v>
      </c>
      <c r="D234" s="5">
        <v>101</v>
      </c>
      <c r="E234" s="5" t="s">
        <v>598</v>
      </c>
      <c r="F234" s="5" t="s">
        <v>598</v>
      </c>
      <c r="G234" s="5" t="s">
        <v>598</v>
      </c>
      <c r="I234">
        <f t="shared" si="6"/>
        <v>-0.17185025692665956</v>
      </c>
      <c r="L234" s="22">
        <v>-5.0065999999999999E-3</v>
      </c>
      <c r="N234">
        <f t="shared" si="7"/>
        <v>9.9951965985691427</v>
      </c>
    </row>
    <row r="235" spans="1:14" ht="20" x14ac:dyDescent="0.2">
      <c r="A235" s="21">
        <v>20</v>
      </c>
      <c r="B235" s="4" t="s">
        <v>607</v>
      </c>
      <c r="C235" s="5">
        <v>9.5</v>
      </c>
      <c r="D235" s="5">
        <v>2500</v>
      </c>
      <c r="E235" s="5" t="s">
        <v>598</v>
      </c>
      <c r="F235" s="5" t="s">
        <v>608</v>
      </c>
      <c r="G235" s="5" t="s">
        <v>598</v>
      </c>
      <c r="I235">
        <f t="shared" si="6"/>
        <v>0.16561970717602303</v>
      </c>
      <c r="L235" s="22">
        <v>0.96648126000000001</v>
      </c>
      <c r="N235">
        <f t="shared" si="7"/>
        <v>10.225089643044804</v>
      </c>
    </row>
    <row r="236" spans="1:14" ht="20" x14ac:dyDescent="0.2">
      <c r="A236" s="21">
        <v>19</v>
      </c>
      <c r="B236" s="4" t="s">
        <v>609</v>
      </c>
      <c r="C236" s="5">
        <v>8.0500000000000007</v>
      </c>
      <c r="D236" s="5">
        <v>3959</v>
      </c>
      <c r="E236" s="5" t="s">
        <v>610</v>
      </c>
      <c r="F236" s="5" t="s">
        <v>611</v>
      </c>
      <c r="G236" s="5" t="s">
        <v>610</v>
      </c>
      <c r="I236">
        <f t="shared" si="6"/>
        <v>6.2305497506365271E-3</v>
      </c>
      <c r="L236" s="22">
        <v>-0.74308660000000004</v>
      </c>
      <c r="N236">
        <f t="shared" si="7"/>
        <v>8.9401968111444745</v>
      </c>
    </row>
    <row r="237" spans="1:14" ht="20" x14ac:dyDescent="0.2">
      <c r="A237" s="21">
        <v>18</v>
      </c>
      <c r="B237" s="6">
        <v>45965</v>
      </c>
      <c r="C237" s="5">
        <v>8</v>
      </c>
      <c r="D237" s="5">
        <v>3602</v>
      </c>
      <c r="E237" s="5" t="s">
        <v>598</v>
      </c>
      <c r="F237" s="5" t="s">
        <v>612</v>
      </c>
      <c r="G237" s="5" t="s">
        <v>613</v>
      </c>
      <c r="I237">
        <f t="shared" si="6"/>
        <v>-2.4692612590371699E-2</v>
      </c>
      <c r="L237" s="22">
        <v>1.8728374400000001</v>
      </c>
      <c r="N237">
        <f t="shared" si="7"/>
        <v>10.304670002848498</v>
      </c>
    </row>
    <row r="238" spans="1:14" ht="20" x14ac:dyDescent="0.2">
      <c r="A238" s="21">
        <v>17</v>
      </c>
      <c r="B238" s="6">
        <v>45934</v>
      </c>
      <c r="C238" s="5">
        <v>8.1999999999999993</v>
      </c>
      <c r="D238" s="5">
        <v>7922</v>
      </c>
      <c r="E238" s="5" t="s">
        <v>614</v>
      </c>
      <c r="F238" s="5" t="s">
        <v>615</v>
      </c>
      <c r="G238" s="5" t="s">
        <v>614</v>
      </c>
      <c r="I238">
        <f t="shared" si="6"/>
        <v>9.8040000966208574E-3</v>
      </c>
      <c r="L238" s="22">
        <v>0.22971000999999999</v>
      </c>
      <c r="N238">
        <f t="shared" si="7"/>
        <v>7.7819831163305926</v>
      </c>
    </row>
    <row r="239" spans="1:14" ht="20" x14ac:dyDescent="0.2">
      <c r="A239" s="21">
        <v>16</v>
      </c>
      <c r="B239" s="6">
        <v>45904</v>
      </c>
      <c r="C239" s="5">
        <v>8.1199999999999992</v>
      </c>
      <c r="D239" s="5">
        <v>3368</v>
      </c>
      <c r="E239" s="5" t="s">
        <v>611</v>
      </c>
      <c r="F239" s="5" t="s">
        <v>611</v>
      </c>
      <c r="G239" s="5" t="s">
        <v>616</v>
      </c>
      <c r="I239">
        <f t="shared" si="6"/>
        <v>2.4660924951933616E-3</v>
      </c>
      <c r="L239" s="22">
        <v>-0.86456699999999997</v>
      </c>
      <c r="N239">
        <f t="shared" si="7"/>
        <v>7.6646017591664526</v>
      </c>
    </row>
    <row r="240" spans="1:14" ht="20" x14ac:dyDescent="0.2">
      <c r="A240" s="21">
        <v>15</v>
      </c>
      <c r="B240" s="6">
        <v>45873</v>
      </c>
      <c r="C240" s="5">
        <v>8.1</v>
      </c>
      <c r="D240" s="5">
        <v>3009</v>
      </c>
      <c r="E240" s="5" t="s">
        <v>617</v>
      </c>
      <c r="F240" s="5" t="s">
        <v>618</v>
      </c>
      <c r="G240" s="5" t="s">
        <v>617</v>
      </c>
      <c r="I240">
        <f t="shared" si="6"/>
        <v>0</v>
      </c>
      <c r="L240" s="22">
        <v>0.82176468999999996</v>
      </c>
      <c r="N240">
        <f t="shared" si="7"/>
        <v>9.0095728220780185</v>
      </c>
    </row>
    <row r="241" spans="1:14" ht="20" x14ac:dyDescent="0.2">
      <c r="A241" s="21">
        <v>14</v>
      </c>
      <c r="B241" s="6">
        <v>45842</v>
      </c>
      <c r="C241" s="5">
        <v>8.1</v>
      </c>
      <c r="D241" s="5">
        <v>3079</v>
      </c>
      <c r="E241" s="5" t="s">
        <v>617</v>
      </c>
      <c r="F241" s="5" t="s">
        <v>619</v>
      </c>
      <c r="G241" s="5" t="s">
        <v>598</v>
      </c>
      <c r="I241">
        <f t="shared" si="6"/>
        <v>2.4721891453891587E-3</v>
      </c>
      <c r="L241" s="22">
        <v>0.96983885999999997</v>
      </c>
      <c r="N241">
        <f t="shared" si="7"/>
        <v>8.0638579403374582</v>
      </c>
    </row>
    <row r="242" spans="1:14" ht="20" x14ac:dyDescent="0.2">
      <c r="A242" s="21">
        <v>13</v>
      </c>
      <c r="B242" s="6">
        <v>45751</v>
      </c>
      <c r="C242" s="5">
        <v>8.08</v>
      </c>
      <c r="D242" s="5">
        <v>2519</v>
      </c>
      <c r="E242" s="5" t="s">
        <v>617</v>
      </c>
      <c r="F242" s="5" t="s">
        <v>620</v>
      </c>
      <c r="G242" s="5" t="s">
        <v>621</v>
      </c>
      <c r="I242">
        <f t="shared" si="6"/>
        <v>-2.4451095864164163E-2</v>
      </c>
      <c r="L242" s="22">
        <v>2.0992605000000002</v>
      </c>
      <c r="N242">
        <f t="shared" si="7"/>
        <v>7.0467218492425081</v>
      </c>
    </row>
    <row r="243" spans="1:14" ht="20" x14ac:dyDescent="0.2">
      <c r="A243" s="21">
        <v>12</v>
      </c>
      <c r="B243" s="6">
        <v>45720</v>
      </c>
      <c r="C243" s="5">
        <v>8.2799999999999994</v>
      </c>
      <c r="D243" s="5">
        <v>5586</v>
      </c>
      <c r="E243" s="5" t="s">
        <v>617</v>
      </c>
      <c r="F243" s="5" t="s">
        <v>622</v>
      </c>
      <c r="G243" s="5" t="s">
        <v>598</v>
      </c>
      <c r="I243">
        <f t="shared" si="6"/>
        <v>2.1978906718775004E-2</v>
      </c>
      <c r="L243" s="22">
        <v>-1.7060655</v>
      </c>
      <c r="N243">
        <f t="shared" si="7"/>
        <v>5.1303741273258456</v>
      </c>
    </row>
    <row r="244" spans="1:14" ht="20" x14ac:dyDescent="0.2">
      <c r="A244" s="21">
        <v>11</v>
      </c>
      <c r="B244" s="6">
        <v>45692</v>
      </c>
      <c r="C244" s="5">
        <v>8.1</v>
      </c>
      <c r="D244" s="5">
        <v>2472</v>
      </c>
      <c r="E244" s="5" t="s">
        <v>623</v>
      </c>
      <c r="F244" s="5" t="s">
        <v>618</v>
      </c>
      <c r="G244" s="5" t="s">
        <v>584</v>
      </c>
      <c r="I244">
        <f t="shared" si="6"/>
        <v>1.242251999855748E-2</v>
      </c>
      <c r="L244" s="22">
        <v>0.66198418000000003</v>
      </c>
      <c r="N244">
        <f t="shared" si="7"/>
        <v>6.9093082335109219</v>
      </c>
    </row>
    <row r="245" spans="1:14" ht="20" x14ac:dyDescent="0.2">
      <c r="A245" s="21">
        <v>10</v>
      </c>
      <c r="B245" s="6">
        <v>45661</v>
      </c>
      <c r="C245" s="5">
        <v>8</v>
      </c>
      <c r="D245" s="5">
        <v>2570</v>
      </c>
      <c r="E245" s="5" t="s">
        <v>611</v>
      </c>
      <c r="F245" s="5" t="s">
        <v>624</v>
      </c>
      <c r="G245" s="5" t="s">
        <v>598</v>
      </c>
      <c r="I245">
        <f t="shared" si="6"/>
        <v>-6.062462181643502E-2</v>
      </c>
      <c r="L245" s="22">
        <v>-1.3764905999999999</v>
      </c>
      <c r="N245">
        <f t="shared" si="7"/>
        <v>6.3458440762441182</v>
      </c>
    </row>
    <row r="246" spans="1:14" ht="20" x14ac:dyDescent="0.2">
      <c r="A246" s="21">
        <v>9</v>
      </c>
      <c r="B246" s="4" t="s">
        <v>625</v>
      </c>
      <c r="C246" s="5">
        <v>8.5</v>
      </c>
      <c r="D246" s="5">
        <v>2525</v>
      </c>
      <c r="E246" s="5" t="s">
        <v>610</v>
      </c>
      <c r="F246" s="5" t="s">
        <v>626</v>
      </c>
      <c r="G246" s="5" t="s">
        <v>610</v>
      </c>
      <c r="I246">
        <f t="shared" si="6"/>
        <v>0</v>
      </c>
      <c r="L246" s="22">
        <v>0.69132943999999996</v>
      </c>
      <c r="N246">
        <f t="shared" si="7"/>
        <v>8.1028846870226214</v>
      </c>
    </row>
    <row r="247" spans="1:14" ht="20" x14ac:dyDescent="0.2">
      <c r="A247" s="21">
        <v>8</v>
      </c>
      <c r="B247" s="4" t="s">
        <v>627</v>
      </c>
      <c r="C247" s="5">
        <v>8.5</v>
      </c>
      <c r="D247" s="5">
        <v>2110</v>
      </c>
      <c r="E247" s="5" t="s">
        <v>628</v>
      </c>
      <c r="F247" s="5" t="s">
        <v>628</v>
      </c>
      <c r="G247" s="5" t="s">
        <v>598</v>
      </c>
      <c r="I247">
        <f t="shared" si="6"/>
        <v>5.937540241600292E-2</v>
      </c>
      <c r="L247" s="22">
        <v>0.41085442</v>
      </c>
      <c r="N247">
        <f t="shared" si="7"/>
        <v>7.4068667138119739</v>
      </c>
    </row>
    <row r="248" spans="1:14" ht="20" x14ac:dyDescent="0.2">
      <c r="A248" s="21">
        <v>7</v>
      </c>
      <c r="B248" s="4" t="s">
        <v>629</v>
      </c>
      <c r="C248" s="5">
        <v>8.01</v>
      </c>
      <c r="D248" s="5">
        <v>2286</v>
      </c>
      <c r="E248" s="5" t="s">
        <v>626</v>
      </c>
      <c r="F248" s="5" t="s">
        <v>630</v>
      </c>
      <c r="G248" s="5" t="s">
        <v>631</v>
      </c>
      <c r="I248">
        <f t="shared" si="6"/>
        <v>-0.10311079592381089</v>
      </c>
      <c r="L248" s="22">
        <v>0.11474023</v>
      </c>
      <c r="N248">
        <f t="shared" si="7"/>
        <v>7.0846433273744411</v>
      </c>
    </row>
    <row r="249" spans="1:14" ht="20" x14ac:dyDescent="0.2">
      <c r="A249" s="21">
        <v>6</v>
      </c>
      <c r="B249" s="4" t="s">
        <v>632</v>
      </c>
      <c r="C249" s="5">
        <v>8.8800000000000008</v>
      </c>
      <c r="D249" s="5">
        <v>2802</v>
      </c>
      <c r="E249" s="5" t="s">
        <v>584</v>
      </c>
      <c r="F249" s="5" t="s">
        <v>633</v>
      </c>
      <c r="G249" s="5" t="s">
        <v>590</v>
      </c>
      <c r="I249">
        <f t="shared" si="6"/>
        <v>0.19729801098351185</v>
      </c>
      <c r="L249" s="22">
        <v>-1.4437371000000001</v>
      </c>
      <c r="N249">
        <f t="shared" si="7"/>
        <v>7.1086620745066416</v>
      </c>
    </row>
    <row r="250" spans="1:14" ht="20" x14ac:dyDescent="0.2">
      <c r="A250" s="21">
        <v>5</v>
      </c>
      <c r="B250" s="4" t="s">
        <v>634</v>
      </c>
      <c r="C250" s="5">
        <v>7.29</v>
      </c>
      <c r="D250" s="5">
        <v>2555</v>
      </c>
      <c r="E250" s="5" t="s">
        <v>529</v>
      </c>
      <c r="F250" s="5" t="s">
        <v>585</v>
      </c>
      <c r="G250" s="5" t="s">
        <v>529</v>
      </c>
      <c r="I250">
        <f t="shared" si="6"/>
        <v>0.13020555565494063</v>
      </c>
      <c r="L250" s="22">
        <v>1.33212116</v>
      </c>
      <c r="N250">
        <f t="shared" si="7"/>
        <v>9.1761109101654679</v>
      </c>
    </row>
    <row r="251" spans="1:14" ht="20" x14ac:dyDescent="0.2">
      <c r="A251" s="21">
        <v>4</v>
      </c>
      <c r="B251" s="4" t="s">
        <v>635</v>
      </c>
      <c r="C251" s="5">
        <v>6.4</v>
      </c>
      <c r="D251" s="5">
        <v>329</v>
      </c>
      <c r="E251" s="5" t="s">
        <v>636</v>
      </c>
      <c r="F251" s="5" t="s">
        <v>636</v>
      </c>
      <c r="G251" s="5" t="s">
        <v>637</v>
      </c>
      <c r="I251">
        <f t="shared" si="6"/>
        <v>0.46750674904714851</v>
      </c>
      <c r="L251" s="22">
        <v>0.30094565000000001</v>
      </c>
      <c r="N251">
        <f t="shared" si="7"/>
        <v>7.5626094775051653</v>
      </c>
    </row>
    <row r="252" spans="1:14" ht="20" x14ac:dyDescent="0.2">
      <c r="A252" s="21">
        <v>3</v>
      </c>
      <c r="B252" s="4" t="s">
        <v>638</v>
      </c>
      <c r="C252" s="5">
        <v>4.01</v>
      </c>
      <c r="D252" s="5">
        <v>1021</v>
      </c>
      <c r="E252" s="5" t="s">
        <v>639</v>
      </c>
      <c r="F252" s="5" t="s">
        <v>614</v>
      </c>
      <c r="G252" s="5" t="s">
        <v>639</v>
      </c>
      <c r="I252">
        <f t="shared" si="6"/>
        <v>-0.49827840771390197</v>
      </c>
      <c r="L252" s="22">
        <v>1.4917033900000001</v>
      </c>
      <c r="N252">
        <f t="shared" si="7"/>
        <v>7.3632650726865565</v>
      </c>
    </row>
    <row r="253" spans="1:14" ht="20" x14ac:dyDescent="0.2">
      <c r="A253" s="21">
        <v>2</v>
      </c>
      <c r="B253" s="4" t="s">
        <v>640</v>
      </c>
      <c r="C253" s="5">
        <v>6.6</v>
      </c>
      <c r="D253" s="5">
        <v>1145</v>
      </c>
      <c r="E253" s="5" t="s">
        <v>641</v>
      </c>
      <c r="F253" s="5" t="s">
        <v>628</v>
      </c>
      <c r="G253" s="5" t="s">
        <v>642</v>
      </c>
      <c r="I253">
        <f t="shared" si="6"/>
        <v>3.8614836127779606E-2</v>
      </c>
      <c r="L253" s="22">
        <v>-0.3044017</v>
      </c>
      <c r="N253">
        <f>N254*EXP((($P$3-$P$4/2)+$P$5*L253))</f>
        <v>5.9139985447622978</v>
      </c>
    </row>
    <row r="254" spans="1:14" ht="20" x14ac:dyDescent="0.2">
      <c r="A254" s="21">
        <v>1</v>
      </c>
      <c r="B254" s="4" t="s">
        <v>643</v>
      </c>
      <c r="C254" s="5">
        <v>6.35</v>
      </c>
      <c r="D254" s="5">
        <v>0</v>
      </c>
      <c r="E254" s="5" t="s">
        <v>644</v>
      </c>
      <c r="F254" s="5" t="s">
        <v>644</v>
      </c>
      <c r="G254" s="5" t="s">
        <v>644</v>
      </c>
      <c r="I254">
        <v>0</v>
      </c>
      <c r="L254" s="22">
        <v>0.24252011000000001</v>
      </c>
      <c r="N254">
        <f>C254</f>
        <v>6.35</v>
      </c>
    </row>
  </sheetData>
  <phoneticPr fontId="18" type="noConversion"/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4AB5-2EC6-BC4C-8D1D-A8453693789E}">
  <dimension ref="A1:Y255"/>
  <sheetViews>
    <sheetView tabSelected="1" topLeftCell="D1" zoomScale="75" zoomScaleNormal="387" workbookViewId="0">
      <selection activeCell="AA9" sqref="AA9"/>
    </sheetView>
  </sheetViews>
  <sheetFormatPr baseColWidth="10" defaultColWidth="11" defaultRowHeight="16" x14ac:dyDescent="0.2"/>
  <cols>
    <col min="2" max="2" width="17.83203125" customWidth="1"/>
    <col min="3" max="3" width="11.1640625" bestFit="1" customWidth="1"/>
    <col min="4" max="4" width="14" bestFit="1" customWidth="1"/>
    <col min="6" max="7" width="14.83203125" bestFit="1" customWidth="1"/>
    <col min="9" max="9" width="11" bestFit="1" customWidth="1"/>
    <col min="12" max="12" width="12.83203125" bestFit="1" customWidth="1"/>
    <col min="13" max="13" width="12.33203125" bestFit="1" customWidth="1"/>
    <col min="15" max="16" width="12.5" bestFit="1" customWidth="1"/>
    <col min="24" max="24" width="12.33203125" customWidth="1"/>
  </cols>
  <sheetData>
    <row r="1" spans="1:25" ht="22" x14ac:dyDescent="0.3">
      <c r="A1" s="7"/>
    </row>
    <row r="3" spans="1:25" ht="22" x14ac:dyDescent="0.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I3" s="7" t="s">
        <v>645</v>
      </c>
      <c r="K3" s="2" t="s">
        <v>10</v>
      </c>
      <c r="M3" s="2" t="s">
        <v>646</v>
      </c>
      <c r="O3" s="7" t="s">
        <v>647</v>
      </c>
      <c r="P3" s="19">
        <f>AVERAGE(I4:I254)</f>
        <v>2.1005430581831513E-4</v>
      </c>
      <c r="W3" s="26"/>
      <c r="X3" s="26"/>
      <c r="Y3" s="18"/>
    </row>
    <row r="4" spans="1:25" ht="22" x14ac:dyDescent="0.3">
      <c r="A4" s="8">
        <v>251</v>
      </c>
      <c r="B4" s="9" t="s">
        <v>13</v>
      </c>
      <c r="C4" s="10">
        <v>615.67999999999995</v>
      </c>
      <c r="D4" s="10">
        <v>11726300</v>
      </c>
      <c r="E4" s="10" t="s">
        <v>648</v>
      </c>
      <c r="F4" s="10" t="s">
        <v>649</v>
      </c>
      <c r="G4" s="10" t="s">
        <v>650</v>
      </c>
      <c r="I4" s="12">
        <f t="shared" ref="I4:I67" si="0">LN(C4)-LN(C5)</f>
        <v>-1.1273275387958748E-2</v>
      </c>
      <c r="K4">
        <f ca="1">_xlfn.NORM.S.INV(RAND())</f>
        <v>-1.1918928964746429</v>
      </c>
      <c r="M4">
        <f ca="1">M5*EXP((($P$3-$P$4/2)+$P$5*K4))</f>
        <v>422.15369756232877</v>
      </c>
      <c r="O4" s="7" t="s">
        <v>17</v>
      </c>
      <c r="P4" s="19">
        <f>_xlfn.VAR.S(I4:I254)</f>
        <v>5.8399170823227866E-4</v>
      </c>
    </row>
    <row r="5" spans="1:25" ht="22" x14ac:dyDescent="0.3">
      <c r="A5" s="8">
        <v>250</v>
      </c>
      <c r="B5" s="9" t="s">
        <v>18</v>
      </c>
      <c r="C5" s="10">
        <v>622.66</v>
      </c>
      <c r="D5" s="10">
        <v>10348760</v>
      </c>
      <c r="E5" s="10" t="s">
        <v>651</v>
      </c>
      <c r="F5" s="10" t="s">
        <v>652</v>
      </c>
      <c r="G5" s="10" t="s">
        <v>653</v>
      </c>
      <c r="I5" s="12">
        <f t="shared" si="0"/>
        <v>-7.663363131070966E-3</v>
      </c>
      <c r="K5">
        <f ca="1">_xlfn.NORM.S.INV(RAND())</f>
        <v>0.6833174774378975</v>
      </c>
      <c r="M5">
        <f t="shared" ref="M5:M67" ca="1" si="1">M6*EXP((($P$3-$P$4/2)+$P$5*K5))</f>
        <v>434.52548228245172</v>
      </c>
      <c r="O5" s="7" t="s">
        <v>654</v>
      </c>
      <c r="P5" s="19">
        <f>SQRT(P4)</f>
        <v>2.4165920388685359E-2</v>
      </c>
    </row>
    <row r="6" spans="1:25" ht="22" x14ac:dyDescent="0.3">
      <c r="A6" s="8">
        <v>249</v>
      </c>
      <c r="B6" s="9" t="s">
        <v>23</v>
      </c>
      <c r="C6" s="10">
        <v>627.45000000000005</v>
      </c>
      <c r="D6" s="10">
        <v>15134850</v>
      </c>
      <c r="E6" s="10" t="s">
        <v>655</v>
      </c>
      <c r="F6" s="10" t="s">
        <v>656</v>
      </c>
      <c r="G6" s="10" t="s">
        <v>657</v>
      </c>
      <c r="I6" s="3">
        <f t="shared" si="0"/>
        <v>2.2141482687535685E-2</v>
      </c>
      <c r="K6">
        <f t="shared" ref="K6:K69" ca="1" si="2">_xlfn.NORM.S.INV(RAND())</f>
        <v>-0.11724889857946268</v>
      </c>
      <c r="M6">
        <f ca="1">M7*EXP((($P$3-$P$4/2)+$P$5*K6))</f>
        <v>427.44410707483718</v>
      </c>
    </row>
    <row r="7" spans="1:25" ht="22" x14ac:dyDescent="0.3">
      <c r="A7" s="8">
        <v>248</v>
      </c>
      <c r="B7" s="9" t="s">
        <v>27</v>
      </c>
      <c r="C7" s="10">
        <v>613.71</v>
      </c>
      <c r="D7" s="10">
        <v>18957640</v>
      </c>
      <c r="E7" s="10" t="s">
        <v>658</v>
      </c>
      <c r="F7" s="10" t="s">
        <v>659</v>
      </c>
      <c r="G7" s="10" t="s">
        <v>660</v>
      </c>
      <c r="I7" s="3">
        <f t="shared" si="0"/>
        <v>-3.909787134579723E-2</v>
      </c>
      <c r="K7">
        <f t="shared" ca="1" si="2"/>
        <v>1.04815186103164</v>
      </c>
      <c r="M7">
        <f t="shared" ca="1" si="1"/>
        <v>428.69208268615859</v>
      </c>
    </row>
    <row r="8" spans="1:25" ht="22" x14ac:dyDescent="0.3">
      <c r="A8" s="8">
        <v>247</v>
      </c>
      <c r="B8" s="11">
        <v>46359</v>
      </c>
      <c r="C8" s="10">
        <v>638.17999999999995</v>
      </c>
      <c r="D8" s="10">
        <v>11617490</v>
      </c>
      <c r="E8" s="10" t="s">
        <v>661</v>
      </c>
      <c r="F8" s="10" t="s">
        <v>662</v>
      </c>
      <c r="G8" s="10" t="s">
        <v>663</v>
      </c>
      <c r="I8" s="3">
        <f t="shared" si="0"/>
        <v>-2.5801097116911365E-2</v>
      </c>
      <c r="K8">
        <f t="shared" ca="1" si="2"/>
        <v>1.3309856528778798</v>
      </c>
      <c r="M8">
        <f t="shared" ca="1" si="1"/>
        <v>418.00412143182967</v>
      </c>
    </row>
    <row r="9" spans="1:25" ht="22" x14ac:dyDescent="0.3">
      <c r="A9" s="8">
        <v>246</v>
      </c>
      <c r="B9" s="11">
        <v>46329</v>
      </c>
      <c r="C9" s="10">
        <v>654.86</v>
      </c>
      <c r="D9" s="10">
        <v>8977162</v>
      </c>
      <c r="E9" s="10" t="s">
        <v>664</v>
      </c>
      <c r="F9" s="10" t="s">
        <v>665</v>
      </c>
      <c r="G9" s="10" t="s">
        <v>666</v>
      </c>
      <c r="I9" s="3">
        <f t="shared" si="0"/>
        <v>1.2070929628382743E-3</v>
      </c>
      <c r="K9">
        <f t="shared" ca="1" si="2"/>
        <v>-0.18492928913975276</v>
      </c>
      <c r="M9">
        <f t="shared" ca="1" si="1"/>
        <v>404.80632408193554</v>
      </c>
    </row>
    <row r="10" spans="1:25" ht="22" x14ac:dyDescent="0.3">
      <c r="A10" s="8">
        <v>245</v>
      </c>
      <c r="B10" s="11">
        <v>46298</v>
      </c>
      <c r="C10" s="10">
        <v>654.07000000000005</v>
      </c>
      <c r="D10" s="10">
        <v>9859250</v>
      </c>
      <c r="E10" s="10" t="s">
        <v>667</v>
      </c>
      <c r="F10" s="10" t="s">
        <v>668</v>
      </c>
      <c r="G10" s="10" t="s">
        <v>669</v>
      </c>
      <c r="I10" s="3">
        <f t="shared" si="0"/>
        <v>1.0265484396793312E-2</v>
      </c>
      <c r="K10">
        <f t="shared" ca="1" si="2"/>
        <v>-0.36098985152656349</v>
      </c>
      <c r="M10">
        <f t="shared" ca="1" si="1"/>
        <v>406.65276685506836</v>
      </c>
    </row>
    <row r="11" spans="1:25" ht="22" x14ac:dyDescent="0.3">
      <c r="A11" s="8">
        <v>244</v>
      </c>
      <c r="B11" s="11">
        <v>46268</v>
      </c>
      <c r="C11" s="10">
        <v>647.39</v>
      </c>
      <c r="D11" s="10">
        <v>13489740</v>
      </c>
      <c r="E11" s="10" t="s">
        <v>670</v>
      </c>
      <c r="F11" s="10" t="s">
        <v>671</v>
      </c>
      <c r="G11" s="10" t="s">
        <v>672</v>
      </c>
      <c r="I11" s="12">
        <f t="shared" si="0"/>
        <v>3.9156559993376305E-3</v>
      </c>
      <c r="K11">
        <f t="shared" ca="1" si="2"/>
        <v>-0.31469800786716778</v>
      </c>
      <c r="M11">
        <f t="shared" ca="1" si="1"/>
        <v>410.24939783617845</v>
      </c>
    </row>
    <row r="12" spans="1:25" ht="22" x14ac:dyDescent="0.3">
      <c r="A12" s="8">
        <v>243</v>
      </c>
      <c r="B12" s="11">
        <v>46176</v>
      </c>
      <c r="C12" s="10">
        <v>644.86</v>
      </c>
      <c r="D12" s="10">
        <v>13159360</v>
      </c>
      <c r="E12" s="10" t="s">
        <v>673</v>
      </c>
      <c r="F12" s="10" t="s">
        <v>674</v>
      </c>
      <c r="G12" s="10" t="s">
        <v>675</v>
      </c>
      <c r="I12" s="12">
        <f t="shared" si="0"/>
        <v>-2.406985969228348E-2</v>
      </c>
      <c r="K12">
        <f t="shared" ca="1" si="2"/>
        <v>-0.1232641760558436</v>
      </c>
      <c r="M12">
        <f t="shared" ca="1" si="1"/>
        <v>413.41509908116672</v>
      </c>
    </row>
    <row r="13" spans="1:25" ht="22" x14ac:dyDescent="0.3">
      <c r="A13" s="8">
        <v>242</v>
      </c>
      <c r="B13" s="11">
        <v>46145</v>
      </c>
      <c r="C13" s="10">
        <v>660.57</v>
      </c>
      <c r="D13" s="10">
        <v>13341370</v>
      </c>
      <c r="E13" s="10" t="s">
        <v>676</v>
      </c>
      <c r="F13" s="10" t="s">
        <v>677</v>
      </c>
      <c r="G13" s="10" t="s">
        <v>678</v>
      </c>
      <c r="I13" s="12">
        <f t="shared" si="0"/>
        <v>-1.0780801547626062E-2</v>
      </c>
      <c r="K13">
        <f t="shared" ca="1" si="2"/>
        <v>1.5333240938918549</v>
      </c>
      <c r="M13">
        <f t="shared" ca="1" si="1"/>
        <v>414.68239108639784</v>
      </c>
    </row>
    <row r="14" spans="1:25" ht="22" x14ac:dyDescent="0.3">
      <c r="A14" s="8">
        <v>241</v>
      </c>
      <c r="B14" s="11">
        <v>46115</v>
      </c>
      <c r="C14" s="10">
        <v>667.73</v>
      </c>
      <c r="D14" s="10">
        <v>10810050</v>
      </c>
      <c r="E14" s="10" t="s">
        <v>679</v>
      </c>
      <c r="F14" s="10" t="s">
        <v>680</v>
      </c>
      <c r="G14" s="10" t="s">
        <v>681</v>
      </c>
      <c r="I14" s="12">
        <f t="shared" si="0"/>
        <v>1.9126534630763636E-2</v>
      </c>
      <c r="K14">
        <f t="shared" ca="1" si="2"/>
        <v>-0.71241310449355288</v>
      </c>
      <c r="M14">
        <f t="shared" ca="1" si="1"/>
        <v>399.6306150598889</v>
      </c>
    </row>
    <row r="15" spans="1:25" ht="22" x14ac:dyDescent="0.3">
      <c r="A15" s="8">
        <v>240</v>
      </c>
      <c r="B15" s="11">
        <v>46084</v>
      </c>
      <c r="C15" s="10">
        <v>655.08000000000004</v>
      </c>
      <c r="D15" s="10">
        <v>12263750</v>
      </c>
      <c r="E15" s="10" t="s">
        <v>682</v>
      </c>
      <c r="F15" s="10" t="s">
        <v>683</v>
      </c>
      <c r="G15" s="10" t="s">
        <v>684</v>
      </c>
      <c r="I15" s="12">
        <f t="shared" si="0"/>
        <v>2.3230234190441124E-3</v>
      </c>
      <c r="K15">
        <f t="shared" ca="1" si="2"/>
        <v>-1.4943383035714446</v>
      </c>
      <c r="M15">
        <f t="shared" ca="1" si="1"/>
        <v>406.60358493675159</v>
      </c>
    </row>
    <row r="16" spans="1:25" ht="22" x14ac:dyDescent="0.3">
      <c r="A16" s="8">
        <v>239</v>
      </c>
      <c r="B16" s="11">
        <v>46056</v>
      </c>
      <c r="C16" s="10">
        <v>653.55999999999995</v>
      </c>
      <c r="D16" s="10">
        <v>9816125</v>
      </c>
      <c r="E16" s="10" t="s">
        <v>685</v>
      </c>
      <c r="F16" s="10" t="s">
        <v>686</v>
      </c>
      <c r="G16" s="10" t="s">
        <v>687</v>
      </c>
      <c r="I16" s="12">
        <f t="shared" si="0"/>
        <v>8.265906605673834E-3</v>
      </c>
      <c r="K16">
        <f t="shared" ca="1" si="2"/>
        <v>-1.2531738789217841</v>
      </c>
      <c r="M16">
        <f t="shared" ca="1" si="1"/>
        <v>421.58976486431908</v>
      </c>
    </row>
    <row r="17" spans="1:13" ht="22" x14ac:dyDescent="0.3">
      <c r="A17" s="8">
        <v>238</v>
      </c>
      <c r="B17" s="9" t="s">
        <v>52</v>
      </c>
      <c r="C17" s="10">
        <v>648.17999999999995</v>
      </c>
      <c r="D17" s="10">
        <v>15703040</v>
      </c>
      <c r="E17" s="10" t="s">
        <v>688</v>
      </c>
      <c r="F17" s="10" t="s">
        <v>689</v>
      </c>
      <c r="G17" s="10" t="s">
        <v>690</v>
      </c>
      <c r="I17" s="12">
        <f t="shared" si="0"/>
        <v>-1.3530803511980771E-2</v>
      </c>
      <c r="K17">
        <f t="shared" ca="1" si="2"/>
        <v>-3.2398204362128064E-2</v>
      </c>
      <c r="M17">
        <f t="shared" ca="1" si="1"/>
        <v>434.58813295805811</v>
      </c>
    </row>
    <row r="18" spans="1:13" ht="22" x14ac:dyDescent="0.3">
      <c r="A18" s="8">
        <v>237</v>
      </c>
      <c r="B18" s="9" t="s">
        <v>54</v>
      </c>
      <c r="C18" s="10">
        <v>657.01</v>
      </c>
      <c r="D18" s="10">
        <v>10637740</v>
      </c>
      <c r="E18" s="10" t="s">
        <v>691</v>
      </c>
      <c r="F18" s="10" t="s">
        <v>692</v>
      </c>
      <c r="G18" s="10" t="s">
        <v>693</v>
      </c>
      <c r="I18" s="12">
        <f t="shared" si="0"/>
        <v>5.0660061043501514E-3</v>
      </c>
      <c r="K18">
        <f t="shared" ca="1" si="2"/>
        <v>-1.2948707835501057</v>
      </c>
      <c r="M18">
        <f t="shared" ca="1" si="1"/>
        <v>434.96415950872927</v>
      </c>
    </row>
    <row r="19" spans="1:13" ht="22" x14ac:dyDescent="0.3">
      <c r="A19" s="8">
        <v>236</v>
      </c>
      <c r="B19" s="9" t="s">
        <v>58</v>
      </c>
      <c r="C19" s="10">
        <v>653.69000000000005</v>
      </c>
      <c r="D19" s="10">
        <v>11330690</v>
      </c>
      <c r="E19" s="10" t="s">
        <v>694</v>
      </c>
      <c r="F19" s="10" t="s">
        <v>695</v>
      </c>
      <c r="G19" s="10" t="s">
        <v>696</v>
      </c>
      <c r="I19" s="12">
        <f t="shared" si="0"/>
        <v>2.2259405191897841E-2</v>
      </c>
      <c r="K19">
        <f t="shared" ca="1" si="2"/>
        <v>0.80803530926107181</v>
      </c>
      <c r="M19">
        <f t="shared" ca="1" si="1"/>
        <v>448.82691416220479</v>
      </c>
    </row>
    <row r="20" spans="1:13" ht="22" x14ac:dyDescent="0.3">
      <c r="A20" s="8">
        <v>235</v>
      </c>
      <c r="B20" s="9" t="s">
        <v>62</v>
      </c>
      <c r="C20" s="10">
        <v>639.29999999999995</v>
      </c>
      <c r="D20" s="10">
        <v>10135650</v>
      </c>
      <c r="E20" s="10" t="s">
        <v>697</v>
      </c>
      <c r="F20" s="10" t="s">
        <v>698</v>
      </c>
      <c r="G20" s="10" t="s">
        <v>699</v>
      </c>
      <c r="I20" s="12">
        <f t="shared" si="0"/>
        <v>3.2117845164565395E-3</v>
      </c>
      <c r="K20">
        <f t="shared" ca="1" si="2"/>
        <v>-0.59060111966263407</v>
      </c>
      <c r="M20">
        <f t="shared" ca="1" si="1"/>
        <v>440.18379084844344</v>
      </c>
    </row>
    <row r="21" spans="1:13" ht="22" x14ac:dyDescent="0.3">
      <c r="A21" s="8">
        <v>234</v>
      </c>
      <c r="B21" s="9" t="s">
        <v>65</v>
      </c>
      <c r="C21" s="10">
        <v>637.25</v>
      </c>
      <c r="D21" s="10">
        <v>8605909</v>
      </c>
      <c r="E21" s="10" t="s">
        <v>700</v>
      </c>
      <c r="F21" s="10" t="s">
        <v>701</v>
      </c>
      <c r="G21" s="10" t="s">
        <v>702</v>
      </c>
      <c r="I21" s="12">
        <f t="shared" si="0"/>
        <v>-2.8480318644857228E-2</v>
      </c>
      <c r="K21">
        <f t="shared" ca="1" si="2"/>
        <v>0.49095377700496945</v>
      </c>
      <c r="M21">
        <f t="shared" ca="1" si="1"/>
        <v>446.5479151650058</v>
      </c>
    </row>
    <row r="22" spans="1:13" ht="22" x14ac:dyDescent="0.3">
      <c r="A22" s="8">
        <v>233</v>
      </c>
      <c r="B22" s="9" t="s">
        <v>69</v>
      </c>
      <c r="C22" s="10">
        <v>655.66</v>
      </c>
      <c r="D22" s="10">
        <v>14183510</v>
      </c>
      <c r="E22" s="10" t="s">
        <v>703</v>
      </c>
      <c r="F22" s="10" t="s">
        <v>704</v>
      </c>
      <c r="G22" s="10" t="s">
        <v>705</v>
      </c>
      <c r="I22" s="12">
        <f t="shared" si="0"/>
        <v>1.6733188559438616E-2</v>
      </c>
      <c r="K22">
        <f t="shared" ca="1" si="2"/>
        <v>-2.26844117696939</v>
      </c>
      <c r="M22">
        <f t="shared" ca="1" si="1"/>
        <v>441.31737994613701</v>
      </c>
    </row>
    <row r="23" spans="1:13" ht="22" x14ac:dyDescent="0.3">
      <c r="A23" s="8">
        <v>232</v>
      </c>
      <c r="B23" s="9" t="s">
        <v>73</v>
      </c>
      <c r="C23" s="10">
        <v>644.78</v>
      </c>
      <c r="D23" s="10">
        <v>10035700</v>
      </c>
      <c r="E23" s="10" t="s">
        <v>706</v>
      </c>
      <c r="F23" s="10" t="s">
        <v>707</v>
      </c>
      <c r="G23" s="10" t="s">
        <v>708</v>
      </c>
      <c r="I23" s="12">
        <f t="shared" si="0"/>
        <v>2.4223614329486054E-3</v>
      </c>
      <c r="K23">
        <f t="shared" ca="1" si="2"/>
        <v>1.5719104743425618</v>
      </c>
      <c r="M23">
        <f t="shared" ca="1" si="1"/>
        <v>466.22353570008352</v>
      </c>
    </row>
    <row r="24" spans="1:13" ht="22" x14ac:dyDescent="0.3">
      <c r="A24" s="8">
        <v>231</v>
      </c>
      <c r="B24" s="9" t="s">
        <v>76</v>
      </c>
      <c r="C24" s="10">
        <v>643.22</v>
      </c>
      <c r="D24" s="10">
        <v>14649200</v>
      </c>
      <c r="E24" s="10" t="s">
        <v>709</v>
      </c>
      <c r="F24" s="10" t="s">
        <v>710</v>
      </c>
      <c r="G24" s="10" t="s">
        <v>711</v>
      </c>
      <c r="I24" s="12">
        <f t="shared" si="0"/>
        <v>6.128626366908918E-3</v>
      </c>
      <c r="K24">
        <f t="shared" ca="1" si="2"/>
        <v>0.39291542557758324</v>
      </c>
      <c r="M24">
        <f t="shared" ca="1" si="1"/>
        <v>448.88219780221783</v>
      </c>
    </row>
    <row r="25" spans="1:13" ht="22" x14ac:dyDescent="0.3">
      <c r="A25" s="8">
        <v>230</v>
      </c>
      <c r="B25" s="9" t="s">
        <v>80</v>
      </c>
      <c r="C25" s="10">
        <v>639.29</v>
      </c>
      <c r="D25" s="10">
        <v>12674740</v>
      </c>
      <c r="E25" s="10" t="s">
        <v>712</v>
      </c>
      <c r="F25" s="10" t="s">
        <v>713</v>
      </c>
      <c r="G25" s="10" t="s">
        <v>714</v>
      </c>
      <c r="I25" s="12">
        <f t="shared" si="0"/>
        <v>-7.5055122126155283E-4</v>
      </c>
      <c r="K25">
        <f t="shared" ca="1" si="2"/>
        <v>-0.39974160064510678</v>
      </c>
      <c r="M25">
        <f t="shared" ca="1" si="1"/>
        <v>444.6765955032086</v>
      </c>
    </row>
    <row r="26" spans="1:13" ht="22" x14ac:dyDescent="0.3">
      <c r="A26" s="8">
        <v>229</v>
      </c>
      <c r="B26" s="9" t="s">
        <v>83</v>
      </c>
      <c r="C26" s="10">
        <v>639.77</v>
      </c>
      <c r="D26" s="10">
        <v>12336360</v>
      </c>
      <c r="E26" s="10" t="s">
        <v>715</v>
      </c>
      <c r="F26" s="10" t="s">
        <v>716</v>
      </c>
      <c r="G26" s="10" t="s">
        <v>717</v>
      </c>
      <c r="I26" s="12">
        <f t="shared" si="0"/>
        <v>-1.5571275704107101E-2</v>
      </c>
      <c r="K26">
        <f t="shared" ca="1" si="2"/>
        <v>-1.0357070860600091</v>
      </c>
      <c r="M26">
        <f t="shared" ca="1" si="1"/>
        <v>449.02983424805223</v>
      </c>
    </row>
    <row r="27" spans="1:13" ht="22" x14ac:dyDescent="0.3">
      <c r="A27" s="8">
        <v>228</v>
      </c>
      <c r="B27" s="11">
        <v>46358</v>
      </c>
      <c r="C27" s="10">
        <v>649.80999999999995</v>
      </c>
      <c r="D27" s="10">
        <v>14960110</v>
      </c>
      <c r="E27" s="10" t="s">
        <v>718</v>
      </c>
      <c r="F27" s="10" t="s">
        <v>719</v>
      </c>
      <c r="G27" s="10" t="s">
        <v>720</v>
      </c>
      <c r="I27" s="12">
        <f t="shared" si="0"/>
        <v>-2.8640562091847066E-2</v>
      </c>
      <c r="K27">
        <f t="shared" ca="1" si="2"/>
        <v>-0.3141076079857324</v>
      </c>
      <c r="M27">
        <f t="shared" ca="1" si="1"/>
        <v>460.44807343068049</v>
      </c>
    </row>
    <row r="28" spans="1:13" ht="22" x14ac:dyDescent="0.3">
      <c r="A28" s="8">
        <v>227</v>
      </c>
      <c r="B28" s="11">
        <v>46328</v>
      </c>
      <c r="C28" s="10">
        <v>668.69</v>
      </c>
      <c r="D28" s="10">
        <v>14323820</v>
      </c>
      <c r="E28" s="10" t="s">
        <v>721</v>
      </c>
      <c r="F28" s="10" t="s">
        <v>722</v>
      </c>
      <c r="G28" s="10" t="s">
        <v>723</v>
      </c>
      <c r="I28" s="12">
        <f t="shared" si="0"/>
        <v>-3.0311876935664728E-3</v>
      </c>
      <c r="K28">
        <f t="shared" ca="1" si="2"/>
        <v>-1.3460751898339332</v>
      </c>
      <c r="M28">
        <f t="shared" ca="1" si="1"/>
        <v>463.99451408048259</v>
      </c>
    </row>
    <row r="29" spans="1:13" ht="22" x14ac:dyDescent="0.3">
      <c r="A29" s="8">
        <v>226</v>
      </c>
      <c r="B29" s="11">
        <v>46297</v>
      </c>
      <c r="C29" s="10">
        <v>670.72</v>
      </c>
      <c r="D29" s="10">
        <v>10455820</v>
      </c>
      <c r="E29" s="10" t="s">
        <v>724</v>
      </c>
      <c r="F29" s="10" t="s">
        <v>725</v>
      </c>
      <c r="G29" s="10" t="s">
        <v>726</v>
      </c>
      <c r="I29" s="12">
        <f t="shared" si="0"/>
        <v>-9.6444209430224248E-3</v>
      </c>
      <c r="K29">
        <f t="shared" ca="1" si="2"/>
        <v>-0.78601045704560535</v>
      </c>
      <c r="M29">
        <f t="shared" ca="1" si="1"/>
        <v>479.3753088879896</v>
      </c>
    </row>
    <row r="30" spans="1:13" ht="22" x14ac:dyDescent="0.3">
      <c r="A30" s="8">
        <v>225</v>
      </c>
      <c r="B30" s="11">
        <v>46267</v>
      </c>
      <c r="C30" s="10">
        <v>677.22</v>
      </c>
      <c r="D30" s="10">
        <v>14837530</v>
      </c>
      <c r="E30" s="10" t="s">
        <v>727</v>
      </c>
      <c r="F30" s="10" t="s">
        <v>728</v>
      </c>
      <c r="G30" s="10" t="s">
        <v>729</v>
      </c>
      <c r="I30" s="12">
        <f t="shared" si="0"/>
        <v>2.3546670100778933E-2</v>
      </c>
      <c r="K30">
        <f t="shared" ca="1" si="2"/>
        <v>-0.35734287419911459</v>
      </c>
      <c r="M30">
        <f t="shared" ca="1" si="1"/>
        <v>488.60794730548565</v>
      </c>
    </row>
    <row r="31" spans="1:13" ht="22" x14ac:dyDescent="0.3">
      <c r="A31" s="8">
        <v>224</v>
      </c>
      <c r="B31" s="11">
        <v>46175</v>
      </c>
      <c r="C31" s="10">
        <v>661.46</v>
      </c>
      <c r="D31" s="10">
        <v>18159250</v>
      </c>
      <c r="E31" s="10" t="s">
        <v>730</v>
      </c>
      <c r="F31" s="10" t="s">
        <v>731</v>
      </c>
      <c r="G31" s="10" t="s">
        <v>732</v>
      </c>
      <c r="I31" s="12">
        <f t="shared" si="0"/>
        <v>-1.3141583016211378E-2</v>
      </c>
      <c r="K31">
        <f t="shared" ca="1" si="2"/>
        <v>0.38364301613813007</v>
      </c>
      <c r="M31">
        <f t="shared" ca="1" si="1"/>
        <v>492.88598776255435</v>
      </c>
    </row>
    <row r="32" spans="1:13" ht="22" x14ac:dyDescent="0.3">
      <c r="A32" s="8">
        <v>223</v>
      </c>
      <c r="B32" s="11">
        <v>46144</v>
      </c>
      <c r="C32" s="10">
        <v>670.21</v>
      </c>
      <c r="D32" s="10">
        <v>17131790</v>
      </c>
      <c r="E32" s="10" t="s">
        <v>733</v>
      </c>
      <c r="F32" s="10" t="s">
        <v>734</v>
      </c>
      <c r="G32" s="10" t="s">
        <v>662</v>
      </c>
      <c r="I32" s="12">
        <f t="shared" si="0"/>
        <v>1.8219837776207726E-3</v>
      </c>
      <c r="K32">
        <f t="shared" ca="1" si="2"/>
        <v>-0.29343646156741215</v>
      </c>
      <c r="M32">
        <f t="shared" ca="1" si="1"/>
        <v>488.37753308069256</v>
      </c>
    </row>
    <row r="33" spans="1:13" ht="22" x14ac:dyDescent="0.3">
      <c r="A33" s="8">
        <v>222</v>
      </c>
      <c r="B33" s="11">
        <v>46114</v>
      </c>
      <c r="C33" s="10">
        <v>668.99</v>
      </c>
      <c r="D33" s="10">
        <v>16882760</v>
      </c>
      <c r="E33" s="10" t="s">
        <v>735</v>
      </c>
      <c r="F33" s="10" t="s">
        <v>736</v>
      </c>
      <c r="G33" s="10" t="s">
        <v>737</v>
      </c>
      <c r="I33" s="12">
        <f t="shared" si="0"/>
        <v>-3.3383223273137475E-2</v>
      </c>
      <c r="K33">
        <f t="shared" ca="1" si="2"/>
        <v>0.30888037912325977</v>
      </c>
      <c r="M33">
        <f t="shared" ca="1" si="1"/>
        <v>491.89331022101709</v>
      </c>
    </row>
    <row r="34" spans="1:13" ht="22" x14ac:dyDescent="0.3">
      <c r="A34" s="8">
        <v>221</v>
      </c>
      <c r="B34" s="11">
        <v>46083</v>
      </c>
      <c r="C34" s="10">
        <v>691.7</v>
      </c>
      <c r="D34" s="10">
        <v>13760660</v>
      </c>
      <c r="E34" s="10" t="s">
        <v>738</v>
      </c>
      <c r="F34" s="10" t="s">
        <v>739</v>
      </c>
      <c r="G34" s="10" t="s">
        <v>740</v>
      </c>
      <c r="I34" s="12">
        <f t="shared" si="0"/>
        <v>-2.1043469868402553E-2</v>
      </c>
      <c r="K34">
        <f t="shared" ca="1" si="2"/>
        <v>-0.24632945206970164</v>
      </c>
      <c r="M34">
        <f t="shared" ca="1" si="1"/>
        <v>488.27531005798602</v>
      </c>
    </row>
    <row r="35" spans="1:13" ht="22" x14ac:dyDescent="0.3">
      <c r="A35" s="8">
        <v>220</v>
      </c>
      <c r="B35" s="11">
        <v>46055</v>
      </c>
      <c r="C35" s="10">
        <v>706.41</v>
      </c>
      <c r="D35" s="10">
        <v>14365220</v>
      </c>
      <c r="E35" s="10" t="s">
        <v>741</v>
      </c>
      <c r="F35" s="10" t="s">
        <v>742</v>
      </c>
      <c r="G35" s="10" t="s">
        <v>743</v>
      </c>
      <c r="I35" s="12">
        <f t="shared" si="0"/>
        <v>-1.4182441793284539E-2</v>
      </c>
      <c r="K35">
        <f t="shared" ca="1" si="2"/>
        <v>-0.68248321214407903</v>
      </c>
      <c r="M35">
        <f t="shared" ca="1" si="1"/>
        <v>491.23082345913633</v>
      </c>
    </row>
    <row r="36" spans="1:13" ht="22" x14ac:dyDescent="0.3">
      <c r="A36" s="8">
        <v>219</v>
      </c>
      <c r="B36" s="9" t="s">
        <v>111</v>
      </c>
      <c r="C36" s="10">
        <v>716.5</v>
      </c>
      <c r="D36" s="10">
        <v>23744570</v>
      </c>
      <c r="E36" s="10" t="s">
        <v>744</v>
      </c>
      <c r="F36" s="10" t="s">
        <v>745</v>
      </c>
      <c r="G36" s="10" t="s">
        <v>746</v>
      </c>
      <c r="I36" s="12">
        <f t="shared" si="0"/>
        <v>-2.9985543334720255E-2</v>
      </c>
      <c r="K36">
        <f t="shared" ca="1" si="2"/>
        <v>-0.86739521918913143</v>
      </c>
      <c r="M36">
        <f t="shared" ca="1" si="1"/>
        <v>499.44071518467604</v>
      </c>
    </row>
    <row r="37" spans="1:13" ht="22" x14ac:dyDescent="0.3">
      <c r="A37" s="8">
        <v>218</v>
      </c>
      <c r="B37" s="9" t="s">
        <v>114</v>
      </c>
      <c r="C37" s="10">
        <v>738.31</v>
      </c>
      <c r="D37" s="10">
        <v>59852900</v>
      </c>
      <c r="E37" s="10" t="s">
        <v>747</v>
      </c>
      <c r="F37" s="10" t="s">
        <v>748</v>
      </c>
      <c r="G37" s="10" t="s">
        <v>749</v>
      </c>
      <c r="I37" s="12">
        <f t="shared" si="0"/>
        <v>9.8983399381996406E-2</v>
      </c>
      <c r="K37">
        <f t="shared" ca="1" si="2"/>
        <v>-1.7583872516526877</v>
      </c>
      <c r="M37">
        <f t="shared" ca="1" si="1"/>
        <v>510.06198017359378</v>
      </c>
    </row>
    <row r="38" spans="1:13" ht="22" x14ac:dyDescent="0.3">
      <c r="A38" s="8">
        <v>217</v>
      </c>
      <c r="B38" s="9" t="s">
        <v>118</v>
      </c>
      <c r="C38" s="10">
        <v>668.73</v>
      </c>
      <c r="D38" s="10">
        <v>25709600</v>
      </c>
      <c r="E38" s="10" t="s">
        <v>750</v>
      </c>
      <c r="F38" s="10" t="s">
        <v>751</v>
      </c>
      <c r="G38" s="10" t="s">
        <v>752</v>
      </c>
      <c r="I38" s="12">
        <f t="shared" si="0"/>
        <v>-6.3203609071837974E-3</v>
      </c>
      <c r="K38">
        <f t="shared" ca="1" si="2"/>
        <v>-0.95777320563043256</v>
      </c>
      <c r="M38">
        <f t="shared" ca="1" si="1"/>
        <v>532.24677042165206</v>
      </c>
    </row>
    <row r="39" spans="1:13" ht="22" x14ac:dyDescent="0.3">
      <c r="A39" s="8">
        <v>216</v>
      </c>
      <c r="B39" s="9" t="s">
        <v>122</v>
      </c>
      <c r="C39" s="10">
        <v>672.97</v>
      </c>
      <c r="D39" s="10">
        <v>13297350</v>
      </c>
      <c r="E39" s="10" t="s">
        <v>753</v>
      </c>
      <c r="F39" s="10" t="s">
        <v>754</v>
      </c>
      <c r="G39" s="10" t="s">
        <v>755</v>
      </c>
      <c r="I39" s="12">
        <f t="shared" si="0"/>
        <v>9.0684076294067495E-4</v>
      </c>
      <c r="K39">
        <f t="shared" ca="1" si="2"/>
        <v>0.42094296596614844</v>
      </c>
      <c r="M39">
        <f t="shared" ca="1" si="1"/>
        <v>544.75418082621297</v>
      </c>
    </row>
    <row r="40" spans="1:13" ht="22" x14ac:dyDescent="0.3">
      <c r="A40" s="8">
        <v>215</v>
      </c>
      <c r="B40" s="9" t="s">
        <v>126</v>
      </c>
      <c r="C40" s="10">
        <v>672.36</v>
      </c>
      <c r="D40" s="10">
        <v>16327380</v>
      </c>
      <c r="E40" s="10" t="s">
        <v>756</v>
      </c>
      <c r="F40" s="10" t="s">
        <v>757</v>
      </c>
      <c r="G40" s="10" t="s">
        <v>758</v>
      </c>
      <c r="I40" s="12">
        <f t="shared" si="0"/>
        <v>2.0434631359186106E-2</v>
      </c>
      <c r="K40">
        <f t="shared" ca="1" si="2"/>
        <v>-0.99495741501339729</v>
      </c>
      <c r="M40">
        <f t="shared" ca="1" si="1"/>
        <v>539.28496105150577</v>
      </c>
    </row>
    <row r="41" spans="1:13" ht="22" x14ac:dyDescent="0.3">
      <c r="A41" s="8">
        <v>214</v>
      </c>
      <c r="B41" s="9" t="s">
        <v>129</v>
      </c>
      <c r="C41" s="10">
        <v>658.76</v>
      </c>
      <c r="D41" s="10">
        <v>22797720</v>
      </c>
      <c r="E41" s="10" t="s">
        <v>759</v>
      </c>
      <c r="F41" s="10" t="s">
        <v>760</v>
      </c>
      <c r="G41" s="10" t="s">
        <v>761</v>
      </c>
      <c r="I41" s="12">
        <f t="shared" si="0"/>
        <v>1.7039734383583749E-2</v>
      </c>
      <c r="K41">
        <f t="shared" ca="1" si="2"/>
        <v>0.73051191104438962</v>
      </c>
      <c r="M41">
        <f t="shared" ca="1" si="1"/>
        <v>552.4539707882069</v>
      </c>
    </row>
    <row r="42" spans="1:13" ht="22" x14ac:dyDescent="0.3">
      <c r="A42" s="8">
        <v>213</v>
      </c>
      <c r="B42" s="9" t="s">
        <v>133</v>
      </c>
      <c r="C42" s="10">
        <v>647.63</v>
      </c>
      <c r="D42" s="10">
        <v>21394670</v>
      </c>
      <c r="E42" s="10" t="s">
        <v>762</v>
      </c>
      <c r="F42" s="10" t="s">
        <v>763</v>
      </c>
      <c r="G42" s="10" t="s">
        <v>764</v>
      </c>
      <c r="I42" s="12">
        <f t="shared" si="0"/>
        <v>5.5019864670084573E-2</v>
      </c>
      <c r="K42">
        <f t="shared" ca="1" si="2"/>
        <v>-1.6778413426707479</v>
      </c>
      <c r="M42">
        <f t="shared" ca="1" si="1"/>
        <v>542.83128791167303</v>
      </c>
    </row>
    <row r="43" spans="1:13" ht="22" x14ac:dyDescent="0.3">
      <c r="A43" s="8">
        <v>212</v>
      </c>
      <c r="B43" s="9" t="s">
        <v>135</v>
      </c>
      <c r="C43" s="10">
        <v>612.96</v>
      </c>
      <c r="D43" s="10">
        <v>14494660</v>
      </c>
      <c r="E43" s="10" t="s">
        <v>765</v>
      </c>
      <c r="F43" s="10" t="s">
        <v>766</v>
      </c>
      <c r="G43" s="10" t="s">
        <v>767</v>
      </c>
      <c r="I43" s="12">
        <f t="shared" si="0"/>
        <v>1.4526827254198516E-2</v>
      </c>
      <c r="K43">
        <f t="shared" ca="1" si="2"/>
        <v>-0.61653082375478718</v>
      </c>
      <c r="M43">
        <f t="shared" ca="1" si="1"/>
        <v>565.33986985133754</v>
      </c>
    </row>
    <row r="44" spans="1:13" ht="22" x14ac:dyDescent="0.3">
      <c r="A44" s="8">
        <v>211</v>
      </c>
      <c r="B44" s="9" t="s">
        <v>138</v>
      </c>
      <c r="C44" s="10">
        <v>604.12</v>
      </c>
      <c r="D44" s="10">
        <v>15169570</v>
      </c>
      <c r="E44" s="10" t="s">
        <v>768</v>
      </c>
      <c r="F44" s="10" t="s">
        <v>769</v>
      </c>
      <c r="G44" s="10" t="s">
        <v>770</v>
      </c>
      <c r="I44" s="12">
        <f t="shared" si="0"/>
        <v>-2.6349768873769719E-2</v>
      </c>
      <c r="K44">
        <f t="shared" ca="1" si="2"/>
        <v>-0.38085771698188464</v>
      </c>
      <c r="M44">
        <f t="shared" ca="1" si="1"/>
        <v>573.8729705731987</v>
      </c>
    </row>
    <row r="45" spans="1:13" ht="22" x14ac:dyDescent="0.3">
      <c r="A45" s="8">
        <v>210</v>
      </c>
      <c r="B45" s="9" t="s">
        <v>141</v>
      </c>
      <c r="C45" s="10">
        <v>620.25</v>
      </c>
      <c r="D45" s="10">
        <v>17012520</v>
      </c>
      <c r="E45" s="10" t="s">
        <v>771</v>
      </c>
      <c r="F45" s="10" t="s">
        <v>772</v>
      </c>
      <c r="G45" s="10" t="s">
        <v>773</v>
      </c>
      <c r="I45" s="12">
        <f t="shared" si="0"/>
        <v>-8.8634629709893886E-4</v>
      </c>
      <c r="K45">
        <f t="shared" ca="1" si="2"/>
        <v>-0.40000280743353595</v>
      </c>
      <c r="M45">
        <f t="shared" ca="1" si="1"/>
        <v>579.2266113477591</v>
      </c>
    </row>
    <row r="46" spans="1:13" ht="22" x14ac:dyDescent="0.3">
      <c r="A46" s="8">
        <v>209</v>
      </c>
      <c r="B46" s="9" t="s">
        <v>144</v>
      </c>
      <c r="C46" s="10">
        <v>620.79999999999995</v>
      </c>
      <c r="D46" s="10">
        <v>13076060</v>
      </c>
      <c r="E46" s="10" t="s">
        <v>774</v>
      </c>
      <c r="F46" s="10" t="s">
        <v>775</v>
      </c>
      <c r="G46" s="10" t="s">
        <v>776</v>
      </c>
      <c r="I46" s="12">
        <f t="shared" si="0"/>
        <v>8.541529865023989E-3</v>
      </c>
      <c r="K46">
        <f t="shared" ca="1" si="2"/>
        <v>0.33477542581890091</v>
      </c>
      <c r="M46">
        <f t="shared" ca="1" si="1"/>
        <v>584.90074289457482</v>
      </c>
    </row>
    <row r="47" spans="1:13" ht="22" x14ac:dyDescent="0.3">
      <c r="A47" s="8">
        <v>208</v>
      </c>
      <c r="B47" s="9" t="s">
        <v>148</v>
      </c>
      <c r="C47" s="10">
        <v>615.52</v>
      </c>
      <c r="D47" s="10">
        <v>15527880</v>
      </c>
      <c r="E47" s="10" t="s">
        <v>777</v>
      </c>
      <c r="F47" s="10" t="s">
        <v>778</v>
      </c>
      <c r="G47" s="10" t="s">
        <v>779</v>
      </c>
      <c r="I47" s="12">
        <f t="shared" si="0"/>
        <v>-2.4981044111279438E-2</v>
      </c>
      <c r="K47">
        <f t="shared" ca="1" si="2"/>
        <v>-2.7737677495297635E-2</v>
      </c>
      <c r="M47">
        <f t="shared" ca="1" si="1"/>
        <v>580.23543746041355</v>
      </c>
    </row>
    <row r="48" spans="1:13" ht="22" x14ac:dyDescent="0.3">
      <c r="A48" s="8">
        <v>207</v>
      </c>
      <c r="B48" s="9" t="s">
        <v>152</v>
      </c>
      <c r="C48" s="10">
        <v>631.09</v>
      </c>
      <c r="D48" s="10">
        <v>18030400</v>
      </c>
      <c r="E48" s="10" t="s">
        <v>780</v>
      </c>
      <c r="F48" s="10" t="s">
        <v>780</v>
      </c>
      <c r="G48" s="10" t="s">
        <v>781</v>
      </c>
      <c r="I48" s="12">
        <f t="shared" si="0"/>
        <v>-1.7093090510901021E-2</v>
      </c>
      <c r="K48">
        <f t="shared" ca="1" si="2"/>
        <v>2.1614028119062226E-3</v>
      </c>
      <c r="M48">
        <f t="shared" ca="1" si="1"/>
        <v>580.67208265150362</v>
      </c>
    </row>
    <row r="49" spans="1:13" ht="22" x14ac:dyDescent="0.3">
      <c r="A49" s="8">
        <v>206</v>
      </c>
      <c r="B49" s="11">
        <v>46357</v>
      </c>
      <c r="C49" s="10">
        <v>641.97</v>
      </c>
      <c r="D49" s="10">
        <v>14797200</v>
      </c>
      <c r="E49" s="10" t="s">
        <v>782</v>
      </c>
      <c r="F49" s="10" t="s">
        <v>783</v>
      </c>
      <c r="G49" s="10" t="s">
        <v>784</v>
      </c>
      <c r="I49" s="12">
        <f t="shared" si="0"/>
        <v>-1.712743504331371E-2</v>
      </c>
      <c r="K49">
        <f t="shared" ca="1" si="2"/>
        <v>0.46277859976975094</v>
      </c>
      <c r="M49">
        <f t="shared" ca="1" si="1"/>
        <v>580.68933424565671</v>
      </c>
    </row>
    <row r="50" spans="1:13" ht="22" x14ac:dyDescent="0.3">
      <c r="A50" s="8">
        <v>205</v>
      </c>
      <c r="B50" s="11">
        <v>46266</v>
      </c>
      <c r="C50" s="10">
        <v>653.05999999999995</v>
      </c>
      <c r="D50" s="10">
        <v>11634940</v>
      </c>
      <c r="E50" s="10" t="s">
        <v>785</v>
      </c>
      <c r="F50" s="10" t="s">
        <v>786</v>
      </c>
      <c r="G50" s="10" t="s">
        <v>787</v>
      </c>
      <c r="I50" s="12">
        <f t="shared" si="0"/>
        <v>1.0776629942922611E-2</v>
      </c>
      <c r="K50">
        <f t="shared" ca="1" si="2"/>
        <v>-1.8713754261767446</v>
      </c>
      <c r="M50">
        <f t="shared" ca="1" si="1"/>
        <v>574.27844579025361</v>
      </c>
    </row>
    <row r="51" spans="1:13" ht="22" x14ac:dyDescent="0.3">
      <c r="A51" s="8">
        <v>204</v>
      </c>
      <c r="B51" s="11">
        <v>46235</v>
      </c>
      <c r="C51" s="10">
        <v>646.05999999999995</v>
      </c>
      <c r="D51" s="10">
        <v>11921710</v>
      </c>
      <c r="E51" s="10" t="s">
        <v>788</v>
      </c>
      <c r="F51" s="10" t="s">
        <v>789</v>
      </c>
      <c r="G51" s="10" t="s">
        <v>790</v>
      </c>
      <c r="I51" s="12">
        <f t="shared" si="0"/>
        <v>-4.0625659273567649E-3</v>
      </c>
      <c r="K51">
        <f t="shared" ca="1" si="2"/>
        <v>0.5243104009544779</v>
      </c>
      <c r="M51">
        <f t="shared" ca="1" si="1"/>
        <v>600.89476958982561</v>
      </c>
    </row>
    <row r="52" spans="1:13" ht="22" x14ac:dyDescent="0.3">
      <c r="A52" s="8">
        <v>203</v>
      </c>
      <c r="B52" s="11">
        <v>46204</v>
      </c>
      <c r="C52" s="10">
        <v>648.69000000000005</v>
      </c>
      <c r="D52" s="10">
        <v>12846270</v>
      </c>
      <c r="E52" s="10" t="s">
        <v>791</v>
      </c>
      <c r="F52" s="10" t="s">
        <v>792</v>
      </c>
      <c r="G52" s="10" t="s">
        <v>793</v>
      </c>
      <c r="I52" s="12">
        <f t="shared" si="0"/>
        <v>-1.8223843351596436E-2</v>
      </c>
      <c r="K52">
        <f t="shared" ca="1" si="2"/>
        <v>1.4664130952137056</v>
      </c>
      <c r="M52">
        <f t="shared" ca="1" si="1"/>
        <v>593.37781751528109</v>
      </c>
    </row>
    <row r="53" spans="1:13" ht="22" x14ac:dyDescent="0.3">
      <c r="A53" s="8">
        <v>202</v>
      </c>
      <c r="B53" s="11">
        <v>46174</v>
      </c>
      <c r="C53" s="10">
        <v>660.62</v>
      </c>
      <c r="D53" s="10">
        <v>11074420</v>
      </c>
      <c r="E53" s="10" t="s">
        <v>794</v>
      </c>
      <c r="F53" s="10" t="s">
        <v>795</v>
      </c>
      <c r="G53" s="10" t="s">
        <v>796</v>
      </c>
      <c r="I53" s="12">
        <f t="shared" si="0"/>
        <v>2.7739689307688664E-3</v>
      </c>
      <c r="K53">
        <f t="shared" ca="1" si="2"/>
        <v>0.16266301285154794</v>
      </c>
      <c r="M53">
        <f t="shared" ca="1" si="1"/>
        <v>572.7653059441476</v>
      </c>
    </row>
    <row r="54" spans="1:13" ht="22" x14ac:dyDescent="0.3">
      <c r="A54" s="8">
        <v>201</v>
      </c>
      <c r="B54" s="11">
        <v>46143</v>
      </c>
      <c r="C54" s="10">
        <v>658.79</v>
      </c>
      <c r="D54" s="10">
        <v>12213750</v>
      </c>
      <c r="E54" s="10" t="s">
        <v>797</v>
      </c>
      <c r="F54" s="10" t="s">
        <v>798</v>
      </c>
      <c r="G54" s="10" t="s">
        <v>799</v>
      </c>
      <c r="I54" s="12">
        <f t="shared" si="0"/>
        <v>1.2801885805584945E-2</v>
      </c>
      <c r="K54">
        <f t="shared" ca="1" si="2"/>
        <v>-1.0008394196841288</v>
      </c>
      <c r="M54">
        <f t="shared" ca="1" si="1"/>
        <v>570.56499244194163</v>
      </c>
    </row>
    <row r="55" spans="1:13" ht="22" x14ac:dyDescent="0.3">
      <c r="A55" s="8">
        <v>200</v>
      </c>
      <c r="B55" s="11">
        <v>46054</v>
      </c>
      <c r="C55" s="10">
        <v>650.41</v>
      </c>
      <c r="D55" s="10">
        <v>13726520</v>
      </c>
      <c r="E55" s="10" t="s">
        <v>800</v>
      </c>
      <c r="F55" s="10" t="s">
        <v>801</v>
      </c>
      <c r="G55" s="10" t="s">
        <v>802</v>
      </c>
      <c r="I55" s="12">
        <f t="shared" si="0"/>
        <v>-1.4773256091003439E-2</v>
      </c>
      <c r="K55">
        <f t="shared" ca="1" si="2"/>
        <v>-1.4003348761645112E-2</v>
      </c>
      <c r="M55">
        <f t="shared" ca="1" si="1"/>
        <v>584.58093026098175</v>
      </c>
    </row>
    <row r="56" spans="1:13" ht="22" x14ac:dyDescent="0.3">
      <c r="A56" s="8">
        <v>199</v>
      </c>
      <c r="B56" s="9" t="s">
        <v>174</v>
      </c>
      <c r="C56" s="10">
        <v>660.09</v>
      </c>
      <c r="D56" s="10">
        <v>7940359</v>
      </c>
      <c r="E56" s="10" t="s">
        <v>803</v>
      </c>
      <c r="F56" s="10" t="s">
        <v>804</v>
      </c>
      <c r="G56" s="10" t="s">
        <v>805</v>
      </c>
      <c r="I56" s="12">
        <f t="shared" si="0"/>
        <v>-8.8384032868802365E-3</v>
      </c>
      <c r="K56">
        <f t="shared" ca="1" si="2"/>
        <v>1.6517099026101774</v>
      </c>
      <c r="M56">
        <f t="shared" ca="1" si="1"/>
        <v>584.82670779445891</v>
      </c>
    </row>
    <row r="57" spans="1:13" ht="22" x14ac:dyDescent="0.3">
      <c r="A57" s="8">
        <v>198</v>
      </c>
      <c r="B57" s="9" t="s">
        <v>178</v>
      </c>
      <c r="C57" s="10">
        <v>665.95</v>
      </c>
      <c r="D57" s="10">
        <v>9187483</v>
      </c>
      <c r="E57" s="10" t="s">
        <v>806</v>
      </c>
      <c r="F57" s="10" t="s">
        <v>807</v>
      </c>
      <c r="G57" s="10" t="s">
        <v>808</v>
      </c>
      <c r="I57" s="12">
        <f t="shared" si="0"/>
        <v>1.0961578533575711E-2</v>
      </c>
      <c r="K57">
        <f t="shared" ca="1" si="2"/>
        <v>-0.66932159090119181</v>
      </c>
      <c r="M57">
        <f t="shared" ca="1" si="1"/>
        <v>561.98908550332169</v>
      </c>
    </row>
    <row r="58" spans="1:13" ht="22" x14ac:dyDescent="0.3">
      <c r="A58" s="8">
        <v>197</v>
      </c>
      <c r="B58" s="9" t="s">
        <v>182</v>
      </c>
      <c r="C58" s="10">
        <v>658.69</v>
      </c>
      <c r="D58" s="10">
        <v>8506477</v>
      </c>
      <c r="E58" s="10" t="s">
        <v>809</v>
      </c>
      <c r="F58" s="10" t="s">
        <v>810</v>
      </c>
      <c r="G58" s="10" t="s">
        <v>811</v>
      </c>
      <c r="I58" s="12">
        <f t="shared" si="0"/>
        <v>-6.9592861699208086E-3</v>
      </c>
      <c r="K58">
        <f t="shared" ca="1" si="2"/>
        <v>-1.0580118461503885</v>
      </c>
      <c r="M58">
        <f t="shared" ca="1" si="1"/>
        <v>571.19984674453553</v>
      </c>
    </row>
    <row r="59" spans="1:13" ht="22" x14ac:dyDescent="0.3">
      <c r="A59" s="8">
        <v>196</v>
      </c>
      <c r="B59" s="9" t="s">
        <v>186</v>
      </c>
      <c r="C59" s="10">
        <v>663.29</v>
      </c>
      <c r="D59" s="10">
        <v>7133813</v>
      </c>
      <c r="E59" s="10" t="s">
        <v>812</v>
      </c>
      <c r="F59" s="10" t="s">
        <v>813</v>
      </c>
      <c r="G59" s="10" t="s">
        <v>814</v>
      </c>
      <c r="I59" s="12">
        <f t="shared" si="0"/>
        <v>-6.4019935527186433E-3</v>
      </c>
      <c r="K59">
        <f t="shared" ca="1" si="2"/>
        <v>0.88781176838716225</v>
      </c>
      <c r="M59">
        <f t="shared" ca="1" si="1"/>
        <v>586.04050849569842</v>
      </c>
    </row>
    <row r="60" spans="1:13" ht="22" x14ac:dyDescent="0.3">
      <c r="A60" s="8">
        <v>195</v>
      </c>
      <c r="B60" s="9" t="s">
        <v>190</v>
      </c>
      <c r="C60" s="10">
        <v>667.55</v>
      </c>
      <c r="D60" s="10">
        <v>5627512</v>
      </c>
      <c r="E60" s="10" t="s">
        <v>815</v>
      </c>
      <c r="F60" s="10" t="s">
        <v>816</v>
      </c>
      <c r="G60" s="10" t="s">
        <v>817</v>
      </c>
      <c r="I60" s="12">
        <f t="shared" si="0"/>
        <v>3.9174828147299223E-3</v>
      </c>
      <c r="K60">
        <f t="shared" ca="1" si="2"/>
        <v>-0.17106224014538055</v>
      </c>
      <c r="M60">
        <f t="shared" ca="1" si="1"/>
        <v>573.64805710912162</v>
      </c>
    </row>
    <row r="61" spans="1:13" ht="22" x14ac:dyDescent="0.3">
      <c r="A61" s="8">
        <v>194</v>
      </c>
      <c r="B61" s="9" t="s">
        <v>193</v>
      </c>
      <c r="C61" s="10">
        <v>664.94</v>
      </c>
      <c r="D61" s="10">
        <v>8486847</v>
      </c>
      <c r="E61" s="10" t="s">
        <v>818</v>
      </c>
      <c r="F61" s="10" t="s">
        <v>819</v>
      </c>
      <c r="G61" s="10" t="s">
        <v>820</v>
      </c>
      <c r="I61" s="12">
        <f t="shared" si="0"/>
        <v>5.1868274663631198E-3</v>
      </c>
      <c r="K61">
        <f t="shared" ca="1" si="2"/>
        <v>1.9475186115722982</v>
      </c>
      <c r="M61">
        <f t="shared" ca="1" si="1"/>
        <v>576.07155785802149</v>
      </c>
    </row>
    <row r="62" spans="1:13" ht="22" x14ac:dyDescent="0.3">
      <c r="A62" s="8">
        <v>193</v>
      </c>
      <c r="B62" s="9" t="s">
        <v>196</v>
      </c>
      <c r="C62" s="10">
        <v>661.5</v>
      </c>
      <c r="D62" s="10">
        <v>15659390</v>
      </c>
      <c r="E62" s="10" t="s">
        <v>821</v>
      </c>
      <c r="F62" s="10" t="s">
        <v>822</v>
      </c>
      <c r="G62" s="10" t="s">
        <v>823</v>
      </c>
      <c r="I62" s="12">
        <f t="shared" si="0"/>
        <v>4.1355236290012698E-3</v>
      </c>
      <c r="K62">
        <f t="shared" ca="1" si="2"/>
        <v>0.69005205965180527</v>
      </c>
      <c r="M62">
        <f t="shared" ca="1" si="1"/>
        <v>549.6327056297971</v>
      </c>
    </row>
    <row r="63" spans="1:13" ht="22" x14ac:dyDescent="0.3">
      <c r="A63" s="8">
        <v>192</v>
      </c>
      <c r="B63" s="9" t="s">
        <v>199</v>
      </c>
      <c r="C63" s="10">
        <v>658.77</v>
      </c>
      <c r="D63" s="10">
        <v>49977050</v>
      </c>
      <c r="E63" s="10" t="s">
        <v>824</v>
      </c>
      <c r="F63" s="10" t="s">
        <v>825</v>
      </c>
      <c r="G63" s="10" t="s">
        <v>826</v>
      </c>
      <c r="I63" s="12">
        <f t="shared" si="0"/>
        <v>-8.5851708515072289E-3</v>
      </c>
      <c r="K63">
        <f t="shared" ca="1" si="2"/>
        <v>-0.33739240440840795</v>
      </c>
      <c r="M63">
        <f t="shared" ca="1" si="1"/>
        <v>540.58746458603741</v>
      </c>
    </row>
    <row r="64" spans="1:13" ht="22" x14ac:dyDescent="0.3">
      <c r="A64" s="8">
        <v>191</v>
      </c>
      <c r="B64" s="9" t="s">
        <v>202</v>
      </c>
      <c r="C64" s="10">
        <v>664.45</v>
      </c>
      <c r="D64" s="10">
        <v>20260300</v>
      </c>
      <c r="E64" s="10" t="s">
        <v>827</v>
      </c>
      <c r="F64" s="10" t="s">
        <v>828</v>
      </c>
      <c r="G64" s="10" t="s">
        <v>829</v>
      </c>
      <c r="I64" s="12">
        <f t="shared" si="0"/>
        <v>2.2756794666862312E-2</v>
      </c>
      <c r="K64">
        <f t="shared" ca="1" si="2"/>
        <v>-0.9852761098794931</v>
      </c>
      <c r="M64">
        <f t="shared" ca="1" si="1"/>
        <v>545.05776787192281</v>
      </c>
    </row>
    <row r="65" spans="1:13" ht="22" x14ac:dyDescent="0.3">
      <c r="A65" s="8">
        <v>190</v>
      </c>
      <c r="B65" s="9" t="s">
        <v>206</v>
      </c>
      <c r="C65" s="10">
        <v>649.5</v>
      </c>
      <c r="D65" s="10">
        <v>15598550</v>
      </c>
      <c r="E65" s="10" t="s">
        <v>830</v>
      </c>
      <c r="F65" s="10" t="s">
        <v>831</v>
      </c>
      <c r="G65" s="10" t="s">
        <v>832</v>
      </c>
      <c r="I65" s="12">
        <f t="shared" si="0"/>
        <v>-1.1709466817363179E-2</v>
      </c>
      <c r="K65">
        <f t="shared" ca="1" si="2"/>
        <v>-0.96928837653870159</v>
      </c>
      <c r="M65">
        <f t="shared" ca="1" si="1"/>
        <v>558.2371269043083</v>
      </c>
    </row>
    <row r="66" spans="1:13" ht="22" x14ac:dyDescent="0.3">
      <c r="A66" s="8">
        <v>189</v>
      </c>
      <c r="B66" s="9" t="s">
        <v>209</v>
      </c>
      <c r="C66" s="10">
        <v>657.15</v>
      </c>
      <c r="D66" s="10">
        <v>14309140</v>
      </c>
      <c r="E66" s="10" t="s">
        <v>802</v>
      </c>
      <c r="F66" s="10" t="s">
        <v>833</v>
      </c>
      <c r="G66" s="10" t="s">
        <v>834</v>
      </c>
      <c r="I66" s="12">
        <f t="shared" si="0"/>
        <v>1.4778065458138201E-2</v>
      </c>
      <c r="K66">
        <f t="shared" ca="1" si="2"/>
        <v>-0.62885120018489349</v>
      </c>
      <c r="M66">
        <f t="shared" ca="1" si="1"/>
        <v>571.51430755379943</v>
      </c>
    </row>
    <row r="67" spans="1:13" ht="22" x14ac:dyDescent="0.3">
      <c r="A67" s="8">
        <v>188</v>
      </c>
      <c r="B67" s="9" t="s">
        <v>213</v>
      </c>
      <c r="C67" s="10">
        <v>647.51</v>
      </c>
      <c r="D67" s="10">
        <v>15549090</v>
      </c>
      <c r="E67" s="10" t="s">
        <v>835</v>
      </c>
      <c r="F67" s="10" t="s">
        <v>836</v>
      </c>
      <c r="G67" s="10" t="s">
        <v>837</v>
      </c>
      <c r="I67" s="12">
        <f t="shared" si="0"/>
        <v>5.0784322687125183E-3</v>
      </c>
      <c r="K67">
        <f t="shared" ca="1" si="2"/>
        <v>-0.10797483548500721</v>
      </c>
      <c r="M67">
        <f t="shared" ca="1" si="1"/>
        <v>580.31335657236355</v>
      </c>
    </row>
    <row r="68" spans="1:13" ht="22" x14ac:dyDescent="0.3">
      <c r="A68" s="8">
        <v>187</v>
      </c>
      <c r="B68" s="11">
        <v>46003</v>
      </c>
      <c r="C68" s="10">
        <v>644.23</v>
      </c>
      <c r="D68" s="10">
        <v>14016920</v>
      </c>
      <c r="E68" s="10" t="s">
        <v>838</v>
      </c>
      <c r="F68" s="10" t="s">
        <v>839</v>
      </c>
      <c r="G68" s="10" t="s">
        <v>840</v>
      </c>
      <c r="I68" s="12">
        <f t="shared" ref="I68:I131" si="3">LN(C68)-LN(C69)</f>
        <v>-1.3077121297054184E-2</v>
      </c>
      <c r="K68">
        <f t="shared" ca="1" si="2"/>
        <v>0.28469600101158971</v>
      </c>
      <c r="M68">
        <f t="shared" ref="M68:M131" ca="1" si="4">M69*EXP((($P$3-$P$4/2)+$P$5*K68))</f>
        <v>581.87722997901426</v>
      </c>
    </row>
    <row r="69" spans="1:13" ht="22" x14ac:dyDescent="0.3">
      <c r="A69" s="8">
        <v>186</v>
      </c>
      <c r="B69" s="11">
        <v>45973</v>
      </c>
      <c r="C69" s="10">
        <v>652.71</v>
      </c>
      <c r="D69" s="10">
        <v>13056730</v>
      </c>
      <c r="E69" s="10" t="s">
        <v>841</v>
      </c>
      <c r="F69" s="10" t="s">
        <v>842</v>
      </c>
      <c r="G69" s="10" t="s">
        <v>843</v>
      </c>
      <c r="I69" s="12">
        <f t="shared" si="3"/>
        <v>3.9605836058722588E-3</v>
      </c>
      <c r="K69">
        <f t="shared" ca="1" si="2"/>
        <v>-0.93726650114031063</v>
      </c>
      <c r="M69">
        <f t="shared" ca="1" si="4"/>
        <v>577.93504362126214</v>
      </c>
    </row>
    <row r="70" spans="1:13" ht="22" x14ac:dyDescent="0.3">
      <c r="A70" s="8">
        <v>185</v>
      </c>
      <c r="B70" s="11">
        <v>45942</v>
      </c>
      <c r="C70" s="10">
        <v>650.13</v>
      </c>
      <c r="D70" s="10">
        <v>16910880</v>
      </c>
      <c r="E70" s="10" t="s">
        <v>844</v>
      </c>
      <c r="F70" s="10" t="s">
        <v>845</v>
      </c>
      <c r="G70" s="10" t="s">
        <v>846</v>
      </c>
      <c r="I70" s="12">
        <f t="shared" si="3"/>
        <v>-1.0450790938220322E-2</v>
      </c>
      <c r="K70">
        <f t="shared" ref="K70:K133" ca="1" si="5">_xlfn.NORM.S.INV(RAND())</f>
        <v>1.1976704406532472</v>
      </c>
      <c r="M70">
        <f t="shared" ca="1" si="4"/>
        <v>591.22303398077679</v>
      </c>
    </row>
    <row r="71" spans="1:13" ht="22" x14ac:dyDescent="0.3">
      <c r="A71" s="8">
        <v>184</v>
      </c>
      <c r="B71" s="11">
        <v>45912</v>
      </c>
      <c r="C71" s="10">
        <v>656.96</v>
      </c>
      <c r="D71" s="10">
        <v>12997120</v>
      </c>
      <c r="E71" s="10" t="s">
        <v>847</v>
      </c>
      <c r="F71" s="10" t="s">
        <v>848</v>
      </c>
      <c r="G71" s="10" t="s">
        <v>849</v>
      </c>
      <c r="I71" s="12">
        <f t="shared" si="3"/>
        <v>-1.4867017046070075E-2</v>
      </c>
      <c r="K71">
        <f t="shared" ca="1" si="5"/>
        <v>1.9736610260642875</v>
      </c>
      <c r="M71">
        <f t="shared" ca="1" si="4"/>
        <v>574.40370234759655</v>
      </c>
    </row>
    <row r="72" spans="1:13" ht="22" x14ac:dyDescent="0.3">
      <c r="A72" s="8">
        <v>183</v>
      </c>
      <c r="B72" s="11">
        <v>45881</v>
      </c>
      <c r="C72" s="10">
        <v>666.8</v>
      </c>
      <c r="D72" s="10">
        <v>13160980</v>
      </c>
      <c r="E72" s="10" t="s">
        <v>850</v>
      </c>
      <c r="F72" s="10" t="s">
        <v>851</v>
      </c>
      <c r="G72" s="10" t="s">
        <v>852</v>
      </c>
      <c r="I72" s="12">
        <f t="shared" si="3"/>
        <v>-9.8790554389980301E-3</v>
      </c>
      <c r="K72">
        <f t="shared" ca="1" si="5"/>
        <v>1.4531765510412071</v>
      </c>
      <c r="M72">
        <f t="shared" ca="1" si="4"/>
        <v>547.69527765947225</v>
      </c>
    </row>
    <row r="73" spans="1:13" ht="22" x14ac:dyDescent="0.3">
      <c r="A73" s="8">
        <v>182</v>
      </c>
      <c r="B73" s="11">
        <v>45789</v>
      </c>
      <c r="C73" s="10">
        <v>673.42</v>
      </c>
      <c r="D73" s="10">
        <v>21207860</v>
      </c>
      <c r="E73" s="10" t="s">
        <v>853</v>
      </c>
      <c r="F73" s="10" t="s">
        <v>854</v>
      </c>
      <c r="G73" s="10" t="s">
        <v>855</v>
      </c>
      <c r="I73" s="12">
        <f t="shared" si="3"/>
        <v>1.7813872315050716E-2</v>
      </c>
      <c r="K73">
        <f t="shared" ca="1" si="5"/>
        <v>0.44934004392431354</v>
      </c>
      <c r="M73">
        <f t="shared" ca="1" si="4"/>
        <v>528.83880148379581</v>
      </c>
    </row>
    <row r="74" spans="1:13" ht="22" x14ac:dyDescent="0.3">
      <c r="A74" s="8">
        <v>181</v>
      </c>
      <c r="B74" s="11">
        <v>45759</v>
      </c>
      <c r="C74" s="10">
        <v>661.53</v>
      </c>
      <c r="D74" s="10">
        <v>29874620</v>
      </c>
      <c r="E74" s="10" t="s">
        <v>719</v>
      </c>
      <c r="F74" s="10" t="s">
        <v>856</v>
      </c>
      <c r="G74" s="10" t="s">
        <v>818</v>
      </c>
      <c r="I74" s="12">
        <f t="shared" si="3"/>
        <v>3.3712353040787235E-2</v>
      </c>
      <c r="K74">
        <f t="shared" ca="1" si="5"/>
        <v>1.9269318952988701</v>
      </c>
      <c r="M74">
        <f t="shared" ca="1" si="4"/>
        <v>523.17022449107412</v>
      </c>
    </row>
    <row r="75" spans="1:13" ht="22" x14ac:dyDescent="0.3">
      <c r="A75" s="8">
        <v>180</v>
      </c>
      <c r="B75" s="11">
        <v>45728</v>
      </c>
      <c r="C75" s="10">
        <v>639.6</v>
      </c>
      <c r="D75" s="10">
        <v>11134310</v>
      </c>
      <c r="E75" s="10" t="s">
        <v>857</v>
      </c>
      <c r="F75" s="10" t="s">
        <v>858</v>
      </c>
      <c r="G75" s="10" t="s">
        <v>859</v>
      </c>
      <c r="I75" s="12">
        <f t="shared" si="3"/>
        <v>-1.1657861103421041E-2</v>
      </c>
      <c r="K75">
        <f t="shared" ca="1" si="5"/>
        <v>0.29175886687913222</v>
      </c>
      <c r="M75">
        <f t="shared" ca="1" si="4"/>
        <v>499.40767537431674</v>
      </c>
    </row>
    <row r="76" spans="1:13" ht="22" x14ac:dyDescent="0.3">
      <c r="A76" s="8">
        <v>179</v>
      </c>
      <c r="B76" s="11">
        <v>45700</v>
      </c>
      <c r="C76" s="10">
        <v>647.1</v>
      </c>
      <c r="D76" s="10">
        <v>11640870</v>
      </c>
      <c r="E76" s="10" t="s">
        <v>860</v>
      </c>
      <c r="F76" s="10" t="s">
        <v>861</v>
      </c>
      <c r="G76" s="10" t="s">
        <v>862</v>
      </c>
      <c r="I76" s="12">
        <f t="shared" si="3"/>
        <v>9.6742138232208674E-3</v>
      </c>
      <c r="K76">
        <f t="shared" ca="1" si="5"/>
        <v>-0.63971103564887799</v>
      </c>
      <c r="M76">
        <f t="shared" ca="1" si="4"/>
        <v>495.93956121828614</v>
      </c>
    </row>
    <row r="77" spans="1:13" ht="22" x14ac:dyDescent="0.3">
      <c r="A77" s="8">
        <v>178</v>
      </c>
      <c r="B77" s="11">
        <v>45669</v>
      </c>
      <c r="C77" s="10">
        <v>640.87</v>
      </c>
      <c r="D77" s="10">
        <v>13029920</v>
      </c>
      <c r="E77" s="10" t="s">
        <v>863</v>
      </c>
      <c r="F77" s="10" t="s">
        <v>864</v>
      </c>
      <c r="G77" s="10" t="s">
        <v>865</v>
      </c>
      <c r="I77" s="12">
        <f t="shared" si="3"/>
        <v>-1.0986904641423934E-2</v>
      </c>
      <c r="K77">
        <f t="shared" ca="1" si="5"/>
        <v>0.65609997680893872</v>
      </c>
      <c r="M77">
        <f t="shared" ca="1" si="4"/>
        <v>503.70723402703044</v>
      </c>
    </row>
    <row r="78" spans="1:13" ht="22" x14ac:dyDescent="0.3">
      <c r="A78" s="8">
        <v>177</v>
      </c>
      <c r="B78" s="9" t="s">
        <v>236</v>
      </c>
      <c r="C78" s="10">
        <v>647.95000000000005</v>
      </c>
      <c r="D78" s="10">
        <v>11033200</v>
      </c>
      <c r="E78" s="10" t="s">
        <v>866</v>
      </c>
      <c r="F78" s="10" t="s">
        <v>867</v>
      </c>
      <c r="G78" s="10" t="s">
        <v>868</v>
      </c>
      <c r="I78" s="12">
        <f t="shared" si="3"/>
        <v>2.2379909677471943E-2</v>
      </c>
      <c r="K78">
        <f t="shared" ca="1" si="5"/>
        <v>-0.67975818491383966</v>
      </c>
      <c r="M78">
        <f t="shared" ca="1" si="4"/>
        <v>495.82443192338434</v>
      </c>
    </row>
    <row r="79" spans="1:13" ht="22" x14ac:dyDescent="0.3">
      <c r="A79" s="8">
        <v>176</v>
      </c>
      <c r="B79" s="9" t="s">
        <v>239</v>
      </c>
      <c r="C79" s="10">
        <v>633.61</v>
      </c>
      <c r="D79" s="10">
        <v>15209480</v>
      </c>
      <c r="E79" s="10" t="s">
        <v>869</v>
      </c>
      <c r="F79" s="10" t="s">
        <v>870</v>
      </c>
      <c r="G79" s="10" t="s">
        <v>871</v>
      </c>
      <c r="I79" s="12">
        <f t="shared" si="3"/>
        <v>-4.1107922721108636E-3</v>
      </c>
      <c r="K79">
        <f t="shared" ca="1" si="5"/>
        <v>0.63693579177745629</v>
      </c>
      <c r="M79">
        <f t="shared" ca="1" si="4"/>
        <v>504.07790013905424</v>
      </c>
    </row>
    <row r="80" spans="1:13" ht="22" x14ac:dyDescent="0.3">
      <c r="A80" s="8">
        <v>175</v>
      </c>
      <c r="B80" s="9" t="s">
        <v>242</v>
      </c>
      <c r="C80" s="10">
        <v>636.22</v>
      </c>
      <c r="D80" s="10">
        <v>25212980</v>
      </c>
      <c r="E80" s="10" t="s">
        <v>872</v>
      </c>
      <c r="F80" s="10" t="s">
        <v>873</v>
      </c>
      <c r="G80" s="10" t="s">
        <v>874</v>
      </c>
      <c r="I80" s="12">
        <f t="shared" si="3"/>
        <v>3.7097916797666386E-2</v>
      </c>
      <c r="K80">
        <f t="shared" ca="1" si="5"/>
        <v>-1.1779764984560829E-2</v>
      </c>
      <c r="M80">
        <f t="shared" ca="1" si="4"/>
        <v>496.41914576100936</v>
      </c>
    </row>
    <row r="81" spans="1:13" ht="22" x14ac:dyDescent="0.3">
      <c r="A81" s="8">
        <v>174</v>
      </c>
      <c r="B81" s="9" t="s">
        <v>246</v>
      </c>
      <c r="C81" s="10">
        <v>613.04999999999995</v>
      </c>
      <c r="D81" s="10">
        <v>23554930</v>
      </c>
      <c r="E81" s="10" t="s">
        <v>875</v>
      </c>
      <c r="F81" s="10" t="s">
        <v>876</v>
      </c>
      <c r="G81" s="10" t="s">
        <v>877</v>
      </c>
      <c r="I81" s="12">
        <f t="shared" si="3"/>
        <v>3.1146392438092363E-2</v>
      </c>
      <c r="K81">
        <f t="shared" ca="1" si="5"/>
        <v>0.55243191044119755</v>
      </c>
      <c r="M81">
        <f t="shared" ca="1" si="4"/>
        <v>496.60117155235713</v>
      </c>
    </row>
    <row r="82" spans="1:13" ht="22" x14ac:dyDescent="0.3">
      <c r="A82" s="8">
        <v>173</v>
      </c>
      <c r="B82" s="9" t="s">
        <v>249</v>
      </c>
      <c r="C82" s="10">
        <v>594.25</v>
      </c>
      <c r="D82" s="10">
        <v>21052620</v>
      </c>
      <c r="E82" s="10" t="s">
        <v>878</v>
      </c>
      <c r="F82" s="10" t="s">
        <v>879</v>
      </c>
      <c r="G82" s="10" t="s">
        <v>880</v>
      </c>
      <c r="I82" s="12">
        <f t="shared" si="3"/>
        <v>8.6192860809539695E-3</v>
      </c>
      <c r="K82">
        <f t="shared" ca="1" si="5"/>
        <v>1.0980612384135737</v>
      </c>
      <c r="M82">
        <f t="shared" ca="1" si="4"/>
        <v>490.05574414661214</v>
      </c>
    </row>
    <row r="83" spans="1:13" ht="22" x14ac:dyDescent="0.3">
      <c r="A83" s="8">
        <v>172</v>
      </c>
      <c r="B83" s="9" t="s">
        <v>253</v>
      </c>
      <c r="C83" s="10">
        <v>589.15</v>
      </c>
      <c r="D83" s="10">
        <v>20603020</v>
      </c>
      <c r="E83" s="10" t="s">
        <v>881</v>
      </c>
      <c r="F83" s="10" t="s">
        <v>882</v>
      </c>
      <c r="G83" s="10" t="s">
        <v>883</v>
      </c>
      <c r="I83" s="12">
        <f t="shared" si="3"/>
        <v>-1.9839425907619557E-3</v>
      </c>
      <c r="K83">
        <f t="shared" ca="1" si="5"/>
        <v>1.2490483951735596</v>
      </c>
      <c r="M83">
        <f t="shared" ca="1" si="4"/>
        <v>477.26191549278491</v>
      </c>
    </row>
    <row r="84" spans="1:13" ht="22" x14ac:dyDescent="0.3">
      <c r="A84" s="8">
        <v>171</v>
      </c>
      <c r="B84" s="9" t="s">
        <v>256</v>
      </c>
      <c r="C84" s="10">
        <v>590.32000000000005</v>
      </c>
      <c r="D84" s="10">
        <v>24744700</v>
      </c>
      <c r="E84" s="10" t="s">
        <v>884</v>
      </c>
      <c r="F84" s="10" t="s">
        <v>885</v>
      </c>
      <c r="G84" s="10" t="s">
        <v>886</v>
      </c>
      <c r="I84" s="12">
        <f t="shared" si="3"/>
        <v>-1.2407462138730452E-2</v>
      </c>
      <c r="K84">
        <f t="shared" ca="1" si="5"/>
        <v>-0.99156758694815172</v>
      </c>
      <c r="M84">
        <f t="shared" ca="1" si="4"/>
        <v>463.10924044675971</v>
      </c>
    </row>
    <row r="85" spans="1:13" ht="22" x14ac:dyDescent="0.3">
      <c r="A85" s="8">
        <v>170</v>
      </c>
      <c r="B85" s="9" t="s">
        <v>260</v>
      </c>
      <c r="C85" s="10">
        <v>597.69000000000005</v>
      </c>
      <c r="D85" s="10">
        <v>25500650</v>
      </c>
      <c r="E85" s="10" t="s">
        <v>887</v>
      </c>
      <c r="F85" s="10" t="s">
        <v>888</v>
      </c>
      <c r="G85" s="10" t="s">
        <v>889</v>
      </c>
      <c r="I85" s="12">
        <f t="shared" si="3"/>
        <v>-7.2018315776940511E-3</v>
      </c>
      <c r="K85">
        <f t="shared" ca="1" si="5"/>
        <v>0.69274359600964652</v>
      </c>
      <c r="M85">
        <f t="shared" ca="1" si="4"/>
        <v>474.37922362183747</v>
      </c>
    </row>
    <row r="86" spans="1:13" ht="22" x14ac:dyDescent="0.3">
      <c r="A86" s="8">
        <v>169</v>
      </c>
      <c r="B86" s="9" t="s">
        <v>262</v>
      </c>
      <c r="C86" s="10">
        <v>602.01</v>
      </c>
      <c r="D86" s="10">
        <v>16501330</v>
      </c>
      <c r="E86" s="10" t="s">
        <v>890</v>
      </c>
      <c r="F86" s="10" t="s">
        <v>891</v>
      </c>
      <c r="G86" s="10" t="s">
        <v>892</v>
      </c>
      <c r="I86" s="12">
        <f t="shared" si="3"/>
        <v>-1.2299262737631267E-2</v>
      </c>
      <c r="K86">
        <f t="shared" ca="1" si="5"/>
        <v>-0.8096689851465142</v>
      </c>
      <c r="M86">
        <f t="shared" ca="1" si="4"/>
        <v>466.5420738205604</v>
      </c>
    </row>
    <row r="87" spans="1:13" ht="22" x14ac:dyDescent="0.3">
      <c r="A87" s="8">
        <v>168</v>
      </c>
      <c r="B87" s="9" t="s">
        <v>264</v>
      </c>
      <c r="C87" s="10">
        <v>609.46</v>
      </c>
      <c r="D87" s="10">
        <v>20724150</v>
      </c>
      <c r="E87" s="10" t="s">
        <v>893</v>
      </c>
      <c r="F87" s="10" t="s">
        <v>894</v>
      </c>
      <c r="G87" s="10" t="s">
        <v>895</v>
      </c>
      <c r="I87" s="12">
        <f t="shared" si="3"/>
        <v>-7.0529383331230378E-4</v>
      </c>
      <c r="K87">
        <f t="shared" ca="1" si="5"/>
        <v>-0.28270200981286175</v>
      </c>
      <c r="M87">
        <f t="shared" ca="1" si="4"/>
        <v>475.79949876111237</v>
      </c>
    </row>
    <row r="88" spans="1:13" ht="22" x14ac:dyDescent="0.3">
      <c r="A88" s="8">
        <v>167</v>
      </c>
      <c r="B88" s="9" t="s">
        <v>267</v>
      </c>
      <c r="C88" s="10">
        <v>609.89</v>
      </c>
      <c r="D88" s="10">
        <v>20973850</v>
      </c>
      <c r="E88" s="10" t="s">
        <v>896</v>
      </c>
      <c r="F88" s="10" t="s">
        <v>897</v>
      </c>
      <c r="G88" s="10" t="s">
        <v>898</v>
      </c>
      <c r="I88" s="12">
        <f t="shared" si="3"/>
        <v>1.4439251011468812E-3</v>
      </c>
      <c r="K88">
        <f t="shared" ca="1" si="5"/>
        <v>1.4043256992707605</v>
      </c>
      <c r="M88">
        <f t="shared" ca="1" si="4"/>
        <v>479.10042942944102</v>
      </c>
    </row>
    <row r="89" spans="1:13" ht="22" x14ac:dyDescent="0.3">
      <c r="A89" s="8">
        <v>166</v>
      </c>
      <c r="B89" s="11">
        <v>46002</v>
      </c>
      <c r="C89" s="10">
        <v>609.01</v>
      </c>
      <c r="D89" s="10">
        <v>24493270</v>
      </c>
      <c r="E89" s="10" t="s">
        <v>899</v>
      </c>
      <c r="F89" s="10" t="s">
        <v>900</v>
      </c>
      <c r="G89" s="10" t="s">
        <v>901</v>
      </c>
      <c r="I89" s="12">
        <f t="shared" si="3"/>
        <v>-2.9239436263997831E-2</v>
      </c>
      <c r="K89">
        <f t="shared" ca="1" si="5"/>
        <v>-2.0088206844918223E-2</v>
      </c>
      <c r="M89">
        <f t="shared" ca="1" si="4"/>
        <v>463.15202999731457</v>
      </c>
    </row>
    <row r="90" spans="1:13" ht="22" x14ac:dyDescent="0.3">
      <c r="A90" s="8">
        <v>165</v>
      </c>
      <c r="B90" s="11">
        <v>45972</v>
      </c>
      <c r="C90" s="10">
        <v>627.08000000000004</v>
      </c>
      <c r="D90" s="10">
        <v>13302190</v>
      </c>
      <c r="E90" s="10" t="s">
        <v>902</v>
      </c>
      <c r="F90" s="10" t="s">
        <v>903</v>
      </c>
      <c r="G90" s="10" t="s">
        <v>904</v>
      </c>
      <c r="I90" s="12">
        <f t="shared" si="3"/>
        <v>-7.435450988994674E-3</v>
      </c>
      <c r="K90">
        <f t="shared" ca="1" si="5"/>
        <v>-5.8337647411629993E-2</v>
      </c>
      <c r="M90">
        <f t="shared" ca="1" si="4"/>
        <v>463.41489311422788</v>
      </c>
    </row>
    <row r="91" spans="1:13" ht="22" x14ac:dyDescent="0.3">
      <c r="A91" s="8">
        <v>164</v>
      </c>
      <c r="B91" s="11">
        <v>45941</v>
      </c>
      <c r="C91" s="10">
        <v>631.76</v>
      </c>
      <c r="D91" s="10">
        <v>19245000</v>
      </c>
      <c r="E91" s="10" t="s">
        <v>905</v>
      </c>
      <c r="F91" s="10" t="s">
        <v>906</v>
      </c>
      <c r="G91" s="10" t="s">
        <v>907</v>
      </c>
      <c r="I91" s="12">
        <f t="shared" si="3"/>
        <v>1.6035829114971811E-2</v>
      </c>
      <c r="K91">
        <f t="shared" ca="1" si="5"/>
        <v>0.50445674420991748</v>
      </c>
      <c r="M91">
        <f t="shared" ca="1" si="4"/>
        <v>464.10669632153235</v>
      </c>
    </row>
    <row r="92" spans="1:13" ht="22" x14ac:dyDescent="0.3">
      <c r="A92" s="8">
        <v>163</v>
      </c>
      <c r="B92" s="11">
        <v>45849</v>
      </c>
      <c r="C92" s="10">
        <v>621.71</v>
      </c>
      <c r="D92" s="10">
        <v>29946830</v>
      </c>
      <c r="E92" s="10" t="s">
        <v>908</v>
      </c>
      <c r="F92" s="10" t="s">
        <v>909</v>
      </c>
      <c r="G92" s="10" t="s">
        <v>910</v>
      </c>
      <c r="I92" s="12">
        <f t="shared" si="3"/>
        <v>4.4654086209430233E-3</v>
      </c>
      <c r="K92">
        <f t="shared" ca="1" si="5"/>
        <v>-0.47559439289136085</v>
      </c>
      <c r="M92">
        <f t="shared" ca="1" si="4"/>
        <v>458.52084530176694</v>
      </c>
    </row>
    <row r="93" spans="1:13" ht="22" x14ac:dyDescent="0.3">
      <c r="A93" s="8">
        <v>162</v>
      </c>
      <c r="B93" s="11">
        <v>45819</v>
      </c>
      <c r="C93" s="10">
        <v>618.94000000000005</v>
      </c>
      <c r="D93" s="10">
        <v>23628750</v>
      </c>
      <c r="E93" s="10" t="s">
        <v>911</v>
      </c>
      <c r="F93" s="10" t="s">
        <v>702</v>
      </c>
      <c r="G93" s="10" t="s">
        <v>912</v>
      </c>
      <c r="I93" s="12">
        <f t="shared" si="3"/>
        <v>-2.7111606444083058E-2</v>
      </c>
      <c r="K93">
        <f t="shared" ca="1" si="5"/>
        <v>-1.0634303633211026</v>
      </c>
      <c r="M93">
        <f t="shared" ca="1" si="4"/>
        <v>463.8591140341955</v>
      </c>
    </row>
    <row r="94" spans="1:13" ht="22" x14ac:dyDescent="0.3">
      <c r="A94" s="8">
        <v>161</v>
      </c>
      <c r="B94" s="11">
        <v>45788</v>
      </c>
      <c r="C94" s="10">
        <v>635.95000000000005</v>
      </c>
      <c r="D94" s="10">
        <v>20219860</v>
      </c>
      <c r="E94" s="10" t="s">
        <v>913</v>
      </c>
      <c r="F94" s="10" t="s">
        <v>914</v>
      </c>
      <c r="G94" s="10" t="s">
        <v>915</v>
      </c>
      <c r="I94" s="12">
        <f t="shared" si="3"/>
        <v>1.3663166631268986E-2</v>
      </c>
      <c r="K94">
        <f t="shared" ca="1" si="5"/>
        <v>-2.1540899593448186</v>
      </c>
      <c r="M94">
        <f t="shared" ca="1" si="4"/>
        <v>475.9732178466752</v>
      </c>
    </row>
    <row r="95" spans="1:13" ht="22" x14ac:dyDescent="0.3">
      <c r="A95" s="8">
        <v>160</v>
      </c>
      <c r="B95" s="11">
        <v>45758</v>
      </c>
      <c r="C95" s="10">
        <v>627.32000000000005</v>
      </c>
      <c r="D95" s="10">
        <v>27356550</v>
      </c>
      <c r="E95" s="10" t="s">
        <v>916</v>
      </c>
      <c r="F95" s="10" t="s">
        <v>917</v>
      </c>
      <c r="G95" s="10" t="s">
        <v>918</v>
      </c>
      <c r="I95" s="12">
        <f t="shared" si="3"/>
        <v>-1.6426857286919727E-2</v>
      </c>
      <c r="K95">
        <f t="shared" ca="1" si="5"/>
        <v>1.5872136355047175</v>
      </c>
      <c r="M95">
        <f t="shared" ca="1" si="4"/>
        <v>501.44759008832131</v>
      </c>
    </row>
    <row r="96" spans="1:13" ht="22" x14ac:dyDescent="0.3">
      <c r="A96" s="8">
        <v>159</v>
      </c>
      <c r="B96" s="11">
        <v>45727</v>
      </c>
      <c r="C96" s="10">
        <v>637.71</v>
      </c>
      <c r="D96" s="10">
        <v>33003600</v>
      </c>
      <c r="E96" s="10" t="s">
        <v>919</v>
      </c>
      <c r="F96" s="10" t="s">
        <v>920</v>
      </c>
      <c r="G96" s="10" t="s">
        <v>921</v>
      </c>
      <c r="I96" s="12">
        <f t="shared" si="3"/>
        <v>-1.6547039441749511E-2</v>
      </c>
      <c r="K96">
        <f t="shared" ca="1" si="5"/>
        <v>1.2157550731818683</v>
      </c>
      <c r="M96">
        <f t="shared" ca="1" si="4"/>
        <v>482.61756968086195</v>
      </c>
    </row>
    <row r="97" spans="1:13" ht="22" x14ac:dyDescent="0.3">
      <c r="A97" s="8">
        <v>158</v>
      </c>
      <c r="B97" s="9" t="s">
        <v>292</v>
      </c>
      <c r="C97" s="10">
        <v>648.35</v>
      </c>
      <c r="D97" s="10">
        <v>56953170</v>
      </c>
      <c r="E97" s="10" t="s">
        <v>922</v>
      </c>
      <c r="F97" s="10" t="s">
        <v>923</v>
      </c>
      <c r="G97" s="10" t="s">
        <v>924</v>
      </c>
      <c r="I97" s="12">
        <f t="shared" si="3"/>
        <v>-2.7564453358019492E-2</v>
      </c>
      <c r="K97">
        <f t="shared" ca="1" si="5"/>
        <v>5.2402407642258578E-2</v>
      </c>
      <c r="M97">
        <f t="shared" ca="1" si="4"/>
        <v>468.68301234114364</v>
      </c>
    </row>
    <row r="98" spans="1:13" ht="22" x14ac:dyDescent="0.3">
      <c r="A98" s="8">
        <v>157</v>
      </c>
      <c r="B98" s="9" t="s">
        <v>294</v>
      </c>
      <c r="C98" s="10">
        <v>666.47</v>
      </c>
      <c r="D98" s="10">
        <v>88440090</v>
      </c>
      <c r="E98" s="10" t="s">
        <v>925</v>
      </c>
      <c r="F98" s="10" t="s">
        <v>926</v>
      </c>
      <c r="G98" s="10" t="s">
        <v>927</v>
      </c>
      <c r="I98" s="12">
        <f t="shared" si="3"/>
        <v>-0.12030227049572328</v>
      </c>
      <c r="K98">
        <f t="shared" ca="1" si="5"/>
        <v>2.6614169649728123</v>
      </c>
      <c r="M98">
        <f t="shared" ca="1" si="4"/>
        <v>468.12822770137439</v>
      </c>
    </row>
    <row r="99" spans="1:13" ht="22" x14ac:dyDescent="0.3">
      <c r="A99" s="8">
        <v>156</v>
      </c>
      <c r="B99" s="9" t="s">
        <v>298</v>
      </c>
      <c r="C99" s="10">
        <v>751.67</v>
      </c>
      <c r="D99" s="10">
        <v>26818590</v>
      </c>
      <c r="E99" s="10" t="s">
        <v>928</v>
      </c>
      <c r="F99" s="10" t="s">
        <v>929</v>
      </c>
      <c r="G99" s="10" t="s">
        <v>930</v>
      </c>
      <c r="I99" s="12">
        <f t="shared" si="3"/>
        <v>3.0603216237601316E-4</v>
      </c>
      <c r="K99">
        <f t="shared" ca="1" si="5"/>
        <v>-0.82138081427956244</v>
      </c>
      <c r="M99">
        <f t="shared" ca="1" si="4"/>
        <v>439.00403319073018</v>
      </c>
    </row>
    <row r="100" spans="1:13" ht="22" x14ac:dyDescent="0.3">
      <c r="A100" s="8">
        <v>155</v>
      </c>
      <c r="B100" s="9" t="s">
        <v>302</v>
      </c>
      <c r="C100" s="10">
        <v>751.44</v>
      </c>
      <c r="D100" s="10">
        <v>12193820</v>
      </c>
      <c r="E100" s="10" t="s">
        <v>931</v>
      </c>
      <c r="F100" s="10" t="s">
        <v>932</v>
      </c>
      <c r="G100" s="10" t="s">
        <v>933</v>
      </c>
      <c r="I100" s="12">
        <f t="shared" si="3"/>
        <v>8.2542307616773058E-4</v>
      </c>
      <c r="K100">
        <f t="shared" ca="1" si="5"/>
        <v>-0.79022735065594074</v>
      </c>
      <c r="M100">
        <f t="shared" ca="1" si="4"/>
        <v>447.84176422590127</v>
      </c>
    </row>
    <row r="101" spans="1:13" ht="22" x14ac:dyDescent="0.3">
      <c r="A101" s="8">
        <v>154</v>
      </c>
      <c r="B101" s="9" t="s">
        <v>305</v>
      </c>
      <c r="C101" s="10">
        <v>750.82</v>
      </c>
      <c r="D101" s="10">
        <v>11321080</v>
      </c>
      <c r="E101" s="10" t="s">
        <v>934</v>
      </c>
      <c r="F101" s="10" t="s">
        <v>935</v>
      </c>
      <c r="G101" s="10" t="s">
        <v>936</v>
      </c>
      <c r="I101" s="12">
        <f t="shared" si="3"/>
        <v>1.6734432069693383E-2</v>
      </c>
      <c r="K101">
        <f t="shared" ca="1" si="5"/>
        <v>0.13193148944710476</v>
      </c>
      <c r="M101">
        <f t="shared" ca="1" si="4"/>
        <v>456.51359382687059</v>
      </c>
    </row>
    <row r="102" spans="1:13" ht="22" x14ac:dyDescent="0.3">
      <c r="A102" s="8">
        <v>153</v>
      </c>
      <c r="B102" s="9" t="s">
        <v>308</v>
      </c>
      <c r="C102" s="10">
        <v>738.36</v>
      </c>
      <c r="D102" s="10">
        <v>9151267</v>
      </c>
      <c r="E102" s="10" t="s">
        <v>937</v>
      </c>
      <c r="F102" s="10" t="s">
        <v>938</v>
      </c>
      <c r="G102" s="10" t="s">
        <v>939</v>
      </c>
      <c r="I102" s="12">
        <f t="shared" si="3"/>
        <v>5.9224819258840711E-3</v>
      </c>
      <c r="K102">
        <f t="shared" ca="1" si="5"/>
        <v>-0.55971165887353136</v>
      </c>
      <c r="M102">
        <f t="shared" ca="1" si="4"/>
        <v>455.09772387707756</v>
      </c>
    </row>
    <row r="103" spans="1:13" ht="22" x14ac:dyDescent="0.3">
      <c r="A103" s="8">
        <v>152</v>
      </c>
      <c r="B103" s="9" t="s">
        <v>311</v>
      </c>
      <c r="C103" s="10">
        <v>734</v>
      </c>
      <c r="D103" s="10">
        <v>9855974</v>
      </c>
      <c r="E103" s="10" t="s">
        <v>940</v>
      </c>
      <c r="F103" s="10" t="s">
        <v>941</v>
      </c>
      <c r="G103" s="10" t="s">
        <v>942</v>
      </c>
      <c r="I103" s="12">
        <f t="shared" si="3"/>
        <v>8.0413794616696066E-4</v>
      </c>
      <c r="K103">
        <f t="shared" ca="1" si="5"/>
        <v>0.85551447204368858</v>
      </c>
      <c r="M103">
        <f t="shared" ca="1" si="4"/>
        <v>461.33297121867736</v>
      </c>
    </row>
    <row r="104" spans="1:13" ht="22" x14ac:dyDescent="0.3">
      <c r="A104" s="8">
        <v>151</v>
      </c>
      <c r="B104" s="9" t="s">
        <v>314</v>
      </c>
      <c r="C104" s="10">
        <v>733.41</v>
      </c>
      <c r="D104" s="10">
        <v>8734491</v>
      </c>
      <c r="E104" s="10" t="s">
        <v>943</v>
      </c>
      <c r="F104" s="10" t="s">
        <v>944</v>
      </c>
      <c r="G104" s="10" t="s">
        <v>945</v>
      </c>
      <c r="I104" s="12">
        <f t="shared" si="3"/>
        <v>1.9090735596805075E-4</v>
      </c>
      <c r="K104">
        <f t="shared" ca="1" si="5"/>
        <v>0.18484988664678906</v>
      </c>
      <c r="M104">
        <f t="shared" ca="1" si="4"/>
        <v>451.93018480401452</v>
      </c>
    </row>
    <row r="105" spans="1:13" ht="22" x14ac:dyDescent="0.3">
      <c r="A105" s="8">
        <v>150</v>
      </c>
      <c r="B105" s="9" t="s">
        <v>318</v>
      </c>
      <c r="C105" s="10">
        <v>733.27</v>
      </c>
      <c r="D105" s="10">
        <v>7647269</v>
      </c>
      <c r="E105" s="10" t="s">
        <v>946</v>
      </c>
      <c r="F105" s="10" t="s">
        <v>947</v>
      </c>
      <c r="G105" s="10" t="s">
        <v>948</v>
      </c>
      <c r="I105" s="12">
        <f t="shared" si="3"/>
        <v>1.501255877546015E-3</v>
      </c>
      <c r="K105">
        <f t="shared" ca="1" si="5"/>
        <v>-1.4816313900089491</v>
      </c>
      <c r="M105">
        <f t="shared" ca="1" si="4"/>
        <v>449.95275277007153</v>
      </c>
    </row>
    <row r="106" spans="1:13" ht="22" x14ac:dyDescent="0.3">
      <c r="A106" s="8">
        <v>149</v>
      </c>
      <c r="B106" s="9" t="s">
        <v>321</v>
      </c>
      <c r="C106" s="10">
        <v>732.17</v>
      </c>
      <c r="D106" s="10">
        <v>8900204</v>
      </c>
      <c r="E106" s="10" t="s">
        <v>949</v>
      </c>
      <c r="F106" s="10" t="s">
        <v>950</v>
      </c>
      <c r="G106" s="10" t="s">
        <v>951</v>
      </c>
      <c r="I106" s="12">
        <f t="shared" si="3"/>
        <v>2.1055443374617511E-2</v>
      </c>
      <c r="K106">
        <f t="shared" ca="1" si="5"/>
        <v>-0.78384211372344004</v>
      </c>
      <c r="M106">
        <f t="shared" ca="1" si="4"/>
        <v>466.39341267643795</v>
      </c>
    </row>
    <row r="107" spans="1:13" ht="22" x14ac:dyDescent="0.3">
      <c r="A107" s="8">
        <v>148</v>
      </c>
      <c r="B107" s="9" t="s">
        <v>324</v>
      </c>
      <c r="C107" s="10">
        <v>716.91499999999996</v>
      </c>
      <c r="D107" s="10">
        <v>12232440</v>
      </c>
      <c r="E107" s="10" t="s">
        <v>952</v>
      </c>
      <c r="F107" s="10" t="s">
        <v>953</v>
      </c>
      <c r="G107" s="10" t="s">
        <v>954</v>
      </c>
      <c r="I107" s="12">
        <f t="shared" si="3"/>
        <v>6.7810628740634371E-3</v>
      </c>
      <c r="K107">
        <f t="shared" ca="1" si="5"/>
        <v>-0.68619864104010941</v>
      </c>
      <c r="M107">
        <f t="shared" ca="1" si="4"/>
        <v>475.35111423752062</v>
      </c>
    </row>
    <row r="108" spans="1:13" ht="22" x14ac:dyDescent="0.3">
      <c r="A108" s="8">
        <v>147</v>
      </c>
      <c r="B108" s="9" t="s">
        <v>328</v>
      </c>
      <c r="C108" s="10">
        <v>712.07</v>
      </c>
      <c r="D108" s="10">
        <v>9017010</v>
      </c>
      <c r="E108" s="10" t="s">
        <v>955</v>
      </c>
      <c r="F108" s="10" t="s">
        <v>956</v>
      </c>
      <c r="G108" s="10" t="s">
        <v>957</v>
      </c>
      <c r="I108" s="12">
        <f t="shared" si="3"/>
        <v>-7.6664104307875292E-3</v>
      </c>
      <c r="K108">
        <f t="shared" ca="1" si="5"/>
        <v>0.92007535758052039</v>
      </c>
      <c r="M108">
        <f t="shared" ca="1" si="4"/>
        <v>483.33900546225851</v>
      </c>
    </row>
    <row r="109" spans="1:13" ht="22" x14ac:dyDescent="0.3">
      <c r="A109" s="8">
        <v>146</v>
      </c>
      <c r="B109" s="9" t="s">
        <v>332</v>
      </c>
      <c r="C109" s="10">
        <v>717.55</v>
      </c>
      <c r="D109" s="10">
        <v>10246770</v>
      </c>
      <c r="E109" s="10" t="s">
        <v>958</v>
      </c>
      <c r="F109" s="10" t="s">
        <v>959</v>
      </c>
      <c r="G109" s="10" t="s">
        <v>960</v>
      </c>
      <c r="I109" s="12">
        <f t="shared" si="3"/>
        <v>1.248088000402614E-2</v>
      </c>
      <c r="K109">
        <f t="shared" ca="1" si="5"/>
        <v>0.22777239248884582</v>
      </c>
      <c r="M109">
        <f t="shared" ca="1" si="4"/>
        <v>472.74955007631206</v>
      </c>
    </row>
    <row r="110" spans="1:13" ht="22" x14ac:dyDescent="0.3">
      <c r="A110" s="8">
        <v>145</v>
      </c>
      <c r="B110" s="9" t="s">
        <v>336</v>
      </c>
      <c r="C110" s="10">
        <v>708.65</v>
      </c>
      <c r="D110" s="10">
        <v>8829757</v>
      </c>
      <c r="E110" s="10" t="s">
        <v>961</v>
      </c>
      <c r="F110" s="10" t="s">
        <v>962</v>
      </c>
      <c r="G110" s="10" t="s">
        <v>963</v>
      </c>
      <c r="I110" s="12">
        <f t="shared" si="3"/>
        <v>-9.8993331316377109E-3</v>
      </c>
      <c r="K110">
        <f t="shared" ca="1" si="5"/>
        <v>0.49118455698626889</v>
      </c>
      <c r="M110">
        <f t="shared" ca="1" si="4"/>
        <v>470.19305602526214</v>
      </c>
    </row>
    <row r="111" spans="1:13" ht="22" x14ac:dyDescent="0.3">
      <c r="A111" s="8">
        <v>144</v>
      </c>
      <c r="B111" s="9" t="s">
        <v>340</v>
      </c>
      <c r="C111" s="10">
        <v>715.7</v>
      </c>
      <c r="D111" s="10">
        <v>9251796</v>
      </c>
      <c r="E111" s="10" t="s">
        <v>964</v>
      </c>
      <c r="F111" s="10" t="s">
        <v>965</v>
      </c>
      <c r="G111" s="10" t="s">
        <v>966</v>
      </c>
      <c r="I111" s="12">
        <f t="shared" si="3"/>
        <v>1.4637840530419055E-2</v>
      </c>
      <c r="K111">
        <f t="shared" ca="1" si="5"/>
        <v>-0.35466492114813941</v>
      </c>
      <c r="M111">
        <f t="shared" ca="1" si="4"/>
        <v>464.68296739537709</v>
      </c>
    </row>
    <row r="112" spans="1:13" ht="22" x14ac:dyDescent="0.3">
      <c r="A112" s="8">
        <v>143</v>
      </c>
      <c r="B112" s="11">
        <v>45940</v>
      </c>
      <c r="C112" s="10">
        <v>705.3</v>
      </c>
      <c r="D112" s="10">
        <v>16980090</v>
      </c>
      <c r="E112" s="10" t="s">
        <v>967</v>
      </c>
      <c r="F112" s="10" t="s">
        <v>968</v>
      </c>
      <c r="G112" s="10" t="s">
        <v>969</v>
      </c>
      <c r="I112" s="12">
        <f t="shared" si="3"/>
        <v>-3.9217986541138394E-2</v>
      </c>
      <c r="K112">
        <f t="shared" ca="1" si="5"/>
        <v>1.201385869224167</v>
      </c>
      <c r="M112">
        <f t="shared" ca="1" si="4"/>
        <v>468.72119667921652</v>
      </c>
    </row>
    <row r="113" spans="1:13" ht="22" x14ac:dyDescent="0.3">
      <c r="A113" s="8">
        <v>142</v>
      </c>
      <c r="B113" s="11">
        <v>45910</v>
      </c>
      <c r="C113" s="10">
        <v>733.51</v>
      </c>
      <c r="D113" s="10">
        <v>12717170</v>
      </c>
      <c r="E113" s="10" t="s">
        <v>970</v>
      </c>
      <c r="F113" s="10" t="s">
        <v>971</v>
      </c>
      <c r="G113" s="10" t="s">
        <v>972</v>
      </c>
      <c r="I113" s="12">
        <f t="shared" si="3"/>
        <v>2.1594527765468996E-2</v>
      </c>
      <c r="K113">
        <f t="shared" ca="1" si="5"/>
        <v>-0.4613940004911557</v>
      </c>
      <c r="M113">
        <f t="shared" ca="1" si="4"/>
        <v>455.34595677179556</v>
      </c>
    </row>
    <row r="114" spans="1:13" ht="22" x14ac:dyDescent="0.3">
      <c r="A114" s="8">
        <v>141</v>
      </c>
      <c r="B114" s="11">
        <v>45879</v>
      </c>
      <c r="C114" s="10">
        <v>717.84</v>
      </c>
      <c r="D114" s="10">
        <v>10790570</v>
      </c>
      <c r="E114" s="10" t="s">
        <v>973</v>
      </c>
      <c r="F114" s="10" t="s">
        <v>974</v>
      </c>
      <c r="G114" s="10" t="s">
        <v>975</v>
      </c>
      <c r="I114" s="12">
        <f t="shared" si="3"/>
        <v>6.6530869061418585E-3</v>
      </c>
      <c r="K114">
        <f t="shared" ca="1" si="5"/>
        <v>0.71197274519547793</v>
      </c>
      <c r="M114">
        <f t="shared" ca="1" si="4"/>
        <v>460.48921112967457</v>
      </c>
    </row>
    <row r="115" spans="1:13" ht="22" x14ac:dyDescent="0.3">
      <c r="A115" s="8">
        <v>140</v>
      </c>
      <c r="B115" s="11">
        <v>45848</v>
      </c>
      <c r="C115" s="10">
        <v>713.08</v>
      </c>
      <c r="D115" s="10">
        <v>12062930</v>
      </c>
      <c r="E115" s="10" t="s">
        <v>976</v>
      </c>
      <c r="F115" s="10" t="s">
        <v>977</v>
      </c>
      <c r="G115" s="10" t="s">
        <v>978</v>
      </c>
      <c r="I115" s="12">
        <f t="shared" si="3"/>
        <v>-3.6115777599148302E-3</v>
      </c>
      <c r="K115">
        <f t="shared" ca="1" si="5"/>
        <v>2.1264877880908695E-2</v>
      </c>
      <c r="M115">
        <f t="shared" ca="1" si="4"/>
        <v>452.67113552238681</v>
      </c>
    </row>
    <row r="116" spans="1:13" ht="22" x14ac:dyDescent="0.3">
      <c r="A116" s="8">
        <v>139</v>
      </c>
      <c r="B116" s="11">
        <v>45818</v>
      </c>
      <c r="C116" s="10">
        <v>715.66</v>
      </c>
      <c r="D116" s="10">
        <v>21654740</v>
      </c>
      <c r="E116" s="10" t="s">
        <v>979</v>
      </c>
      <c r="F116" s="10" t="s">
        <v>980</v>
      </c>
      <c r="G116" s="10" t="s">
        <v>981</v>
      </c>
      <c r="I116" s="12">
        <f t="shared" si="3"/>
        <v>7.1518022997834052E-3</v>
      </c>
      <c r="K116">
        <f t="shared" ca="1" si="5"/>
        <v>0.68819359162668359</v>
      </c>
      <c r="M116">
        <f t="shared" ca="1" si="4"/>
        <v>452.47564925560357</v>
      </c>
    </row>
    <row r="117" spans="1:13" ht="22" x14ac:dyDescent="0.3">
      <c r="A117" s="8">
        <v>138</v>
      </c>
      <c r="B117" s="11">
        <v>45726</v>
      </c>
      <c r="C117" s="10">
        <v>710.56</v>
      </c>
      <c r="D117" s="10">
        <v>16154310</v>
      </c>
      <c r="E117" s="10" t="s">
        <v>982</v>
      </c>
      <c r="F117" s="10" t="s">
        <v>983</v>
      </c>
      <c r="G117" s="10" t="s">
        <v>984</v>
      </c>
      <c r="I117" s="12">
        <f t="shared" si="3"/>
        <v>-2.2941859415702481E-2</v>
      </c>
      <c r="K117">
        <f t="shared" ca="1" si="5"/>
        <v>-0.55242595559723484</v>
      </c>
      <c r="M117">
        <f t="shared" ca="1" si="4"/>
        <v>445.0492979289711</v>
      </c>
    </row>
    <row r="118" spans="1:13" ht="22" x14ac:dyDescent="0.3">
      <c r="A118" s="8">
        <v>137</v>
      </c>
      <c r="B118" s="11">
        <v>45698</v>
      </c>
      <c r="C118" s="10">
        <v>727.05</v>
      </c>
      <c r="D118" s="10">
        <v>11415270</v>
      </c>
      <c r="E118" s="10" t="s">
        <v>985</v>
      </c>
      <c r="F118" s="10" t="s">
        <v>986</v>
      </c>
      <c r="G118" s="10" t="s">
        <v>987</v>
      </c>
      <c r="I118" s="12">
        <f t="shared" si="3"/>
        <v>1.3445324708817985E-2</v>
      </c>
      <c r="K118">
        <f t="shared" ca="1" si="5"/>
        <v>-0.72476443021167358</v>
      </c>
      <c r="M118">
        <f t="shared" ca="1" si="4"/>
        <v>451.06744830574985</v>
      </c>
    </row>
    <row r="119" spans="1:13" ht="22" x14ac:dyDescent="0.3">
      <c r="A119" s="8">
        <v>136</v>
      </c>
      <c r="B119" s="11">
        <v>45667</v>
      </c>
      <c r="C119" s="10">
        <v>717.34</v>
      </c>
      <c r="D119" s="10">
        <v>20419630</v>
      </c>
      <c r="E119" s="10" t="s">
        <v>988</v>
      </c>
      <c r="F119" s="10" t="s">
        <v>989</v>
      </c>
      <c r="G119" s="10" t="s">
        <v>990</v>
      </c>
      <c r="I119" s="12">
        <f t="shared" si="3"/>
        <v>-2.347667956930799E-2</v>
      </c>
      <c r="K119">
        <f t="shared" ca="1" si="5"/>
        <v>-2.1181233592059598</v>
      </c>
      <c r="M119">
        <f t="shared" ca="1" si="4"/>
        <v>459.07492047409761</v>
      </c>
    </row>
    <row r="120" spans="1:13" ht="22" x14ac:dyDescent="0.3">
      <c r="A120" s="8">
        <v>135</v>
      </c>
      <c r="B120" s="9" t="s">
        <v>364</v>
      </c>
      <c r="C120" s="10">
        <v>734.38</v>
      </c>
      <c r="D120" s="10">
        <v>16226750</v>
      </c>
      <c r="E120" s="10" t="s">
        <v>991</v>
      </c>
      <c r="F120" s="10" t="s">
        <v>992</v>
      </c>
      <c r="G120" s="10" t="s">
        <v>993</v>
      </c>
      <c r="I120" s="12">
        <f t="shared" si="3"/>
        <v>-1.2207652043167094E-2</v>
      </c>
      <c r="K120">
        <f t="shared" ca="1" si="5"/>
        <v>-1.6666716555763657</v>
      </c>
      <c r="M120">
        <f t="shared" ca="1" si="4"/>
        <v>483.22470064315007</v>
      </c>
    </row>
    <row r="121" spans="1:13" ht="22" x14ac:dyDescent="0.3">
      <c r="A121" s="8">
        <v>134</v>
      </c>
      <c r="B121" s="9" t="s">
        <v>367</v>
      </c>
      <c r="C121" s="10">
        <v>743.4</v>
      </c>
      <c r="D121" s="10">
        <v>9246768</v>
      </c>
      <c r="E121" s="10" t="s">
        <v>994</v>
      </c>
      <c r="F121" s="10" t="s">
        <v>995</v>
      </c>
      <c r="G121" s="10" t="s">
        <v>996</v>
      </c>
      <c r="I121" s="12">
        <f t="shared" si="3"/>
        <v>-4.7069899668805704E-4</v>
      </c>
      <c r="K121">
        <f t="shared" ca="1" si="5"/>
        <v>0.21249189502487639</v>
      </c>
      <c r="M121">
        <f t="shared" ca="1" si="4"/>
        <v>503.12586140757946</v>
      </c>
    </row>
    <row r="122" spans="1:13" ht="22" x14ac:dyDescent="0.3">
      <c r="A122" s="8">
        <v>133</v>
      </c>
      <c r="B122" s="9" t="s">
        <v>369</v>
      </c>
      <c r="C122" s="10">
        <v>743.75</v>
      </c>
      <c r="D122" s="10">
        <v>9696338</v>
      </c>
      <c r="E122" s="10" t="s">
        <v>997</v>
      </c>
      <c r="F122" s="10" t="s">
        <v>998</v>
      </c>
      <c r="G122" s="10" t="s">
        <v>999</v>
      </c>
      <c r="I122" s="12">
        <f t="shared" si="3"/>
        <v>-6.9138592239443852E-3</v>
      </c>
      <c r="K122">
        <f t="shared" ca="1" si="5"/>
        <v>-0.82988891777026919</v>
      </c>
      <c r="M122">
        <f t="shared" ca="1" si="4"/>
        <v>500.58991832689935</v>
      </c>
    </row>
    <row r="123" spans="1:13" ht="22" x14ac:dyDescent="0.3">
      <c r="A123" s="8">
        <v>132</v>
      </c>
      <c r="B123" s="9" t="s">
        <v>371</v>
      </c>
      <c r="C123" s="10">
        <v>748.91</v>
      </c>
      <c r="D123" s="10">
        <v>10591070</v>
      </c>
      <c r="E123" s="10" t="s">
        <v>1000</v>
      </c>
      <c r="F123" s="10" t="s">
        <v>1001</v>
      </c>
      <c r="G123" s="10" t="s">
        <v>1002</v>
      </c>
      <c r="I123" s="12">
        <f t="shared" si="3"/>
        <v>-1.5567661389828125E-2</v>
      </c>
      <c r="K123">
        <f t="shared" ca="1" si="5"/>
        <v>-0.19136723856649845</v>
      </c>
      <c r="M123">
        <f t="shared" ca="1" si="4"/>
        <v>510.77246173875329</v>
      </c>
    </row>
    <row r="124" spans="1:13" ht="22" x14ac:dyDescent="0.3">
      <c r="A124" s="8">
        <v>131</v>
      </c>
      <c r="B124" s="9" t="s">
        <v>374</v>
      </c>
      <c r="C124" s="10">
        <v>760.66</v>
      </c>
      <c r="D124" s="10">
        <v>8828227</v>
      </c>
      <c r="E124" s="10" t="s">
        <v>1003</v>
      </c>
      <c r="F124" s="10" t="s">
        <v>1004</v>
      </c>
      <c r="G124" s="10" t="s">
        <v>1005</v>
      </c>
      <c r="I124" s="12">
        <f t="shared" si="3"/>
        <v>6.9390671952556104E-3</v>
      </c>
      <c r="K124">
        <f t="shared" ca="1" si="5"/>
        <v>0.77128750544558178</v>
      </c>
      <c r="M124">
        <f t="shared" ca="1" si="4"/>
        <v>513.1820819046801</v>
      </c>
    </row>
    <row r="125" spans="1:13" ht="22" x14ac:dyDescent="0.3">
      <c r="A125" s="8">
        <v>130</v>
      </c>
      <c r="B125" s="9" t="s">
        <v>377</v>
      </c>
      <c r="C125" s="10">
        <v>755.4</v>
      </c>
      <c r="D125" s="10">
        <v>10872590</v>
      </c>
      <c r="E125" s="10" t="s">
        <v>1006</v>
      </c>
      <c r="F125" s="10" t="s">
        <v>1007</v>
      </c>
      <c r="G125" s="10" t="s">
        <v>1008</v>
      </c>
      <c r="I125" s="12">
        <f t="shared" si="3"/>
        <v>-1.2837552006096153E-2</v>
      </c>
      <c r="K125">
        <f t="shared" ca="1" si="5"/>
        <v>-0.46334990314275043</v>
      </c>
      <c r="M125">
        <f t="shared" ca="1" si="4"/>
        <v>503.74681304416703</v>
      </c>
    </row>
    <row r="126" spans="1:13" ht="22" x14ac:dyDescent="0.3">
      <c r="A126" s="8">
        <v>129</v>
      </c>
      <c r="B126" s="9" t="s">
        <v>379</v>
      </c>
      <c r="C126" s="10">
        <v>765.16</v>
      </c>
      <c r="D126" s="10">
        <v>11706950</v>
      </c>
      <c r="E126" s="10" t="s">
        <v>1009</v>
      </c>
      <c r="F126" s="10" t="s">
        <v>1010</v>
      </c>
      <c r="G126" s="10" t="s">
        <v>1011</v>
      </c>
      <c r="I126" s="12">
        <f t="shared" si="3"/>
        <v>-1.7129874526522926E-2</v>
      </c>
      <c r="K126">
        <f t="shared" ca="1" si="5"/>
        <v>0.44712758311984335</v>
      </c>
      <c r="M126">
        <f t="shared" ca="1" si="4"/>
        <v>509.46084772080508</v>
      </c>
    </row>
    <row r="127" spans="1:13" ht="22" x14ac:dyDescent="0.3">
      <c r="A127" s="8">
        <v>128</v>
      </c>
      <c r="B127" s="9" t="s">
        <v>382</v>
      </c>
      <c r="C127" s="10">
        <v>778.38</v>
      </c>
      <c r="D127" s="10">
        <v>23696820</v>
      </c>
      <c r="E127" s="10" t="s">
        <v>1012</v>
      </c>
      <c r="F127" s="10" t="s">
        <v>1013</v>
      </c>
      <c r="G127" s="10" t="s">
        <v>1014</v>
      </c>
      <c r="I127" s="12">
        <f t="shared" si="3"/>
        <v>-2.3995443399131844E-3</v>
      </c>
      <c r="K127">
        <f t="shared" ca="1" si="5"/>
        <v>0.71312056566933235</v>
      </c>
      <c r="M127">
        <f t="shared" ca="1" si="4"/>
        <v>504.02692898433219</v>
      </c>
    </row>
    <row r="128" spans="1:13" ht="22" x14ac:dyDescent="0.3">
      <c r="A128" s="8">
        <v>127</v>
      </c>
      <c r="B128" s="9" t="s">
        <v>385</v>
      </c>
      <c r="C128" s="10">
        <v>780.25</v>
      </c>
      <c r="D128" s="10">
        <v>10954950</v>
      </c>
      <c r="E128" s="10" t="s">
        <v>1015</v>
      </c>
      <c r="F128" s="10" t="s">
        <v>1016</v>
      </c>
      <c r="G128" s="10" t="s">
        <v>1017</v>
      </c>
      <c r="I128" s="12">
        <f t="shared" si="3"/>
        <v>5.8291964683316877E-3</v>
      </c>
      <c r="K128">
        <f t="shared" ca="1" si="5"/>
        <v>6.8626711885640318E-2</v>
      </c>
      <c r="M128">
        <f t="shared" ca="1" si="4"/>
        <v>495.45593720831334</v>
      </c>
    </row>
    <row r="129" spans="1:13" ht="22" x14ac:dyDescent="0.3">
      <c r="A129" s="8">
        <v>126</v>
      </c>
      <c r="B129" s="9" t="s">
        <v>387</v>
      </c>
      <c r="C129" s="10">
        <v>775.71500000000003</v>
      </c>
      <c r="D129" s="10">
        <v>9400867</v>
      </c>
      <c r="E129" s="10" t="s">
        <v>1018</v>
      </c>
      <c r="F129" s="10" t="s">
        <v>1019</v>
      </c>
      <c r="G129" s="10" t="s">
        <v>1020</v>
      </c>
      <c r="I129" s="12">
        <f t="shared" si="3"/>
        <v>-4.2258611881909047E-3</v>
      </c>
      <c r="K129">
        <f t="shared" ca="1" si="5"/>
        <v>-0.89013305948334032</v>
      </c>
      <c r="M129">
        <f t="shared" ca="1" si="4"/>
        <v>494.67547316334623</v>
      </c>
    </row>
    <row r="130" spans="1:13" ht="22" x14ac:dyDescent="0.3">
      <c r="A130" s="8">
        <v>125</v>
      </c>
      <c r="B130" s="9" t="s">
        <v>388</v>
      </c>
      <c r="C130" s="10">
        <v>779</v>
      </c>
      <c r="D130" s="10">
        <v>11782480</v>
      </c>
      <c r="E130" s="10" t="s">
        <v>1021</v>
      </c>
      <c r="F130" s="10" t="s">
        <v>1022</v>
      </c>
      <c r="G130" s="10" t="s">
        <v>1023</v>
      </c>
      <c r="I130" s="12">
        <f t="shared" si="3"/>
        <v>1.8527445820568644E-2</v>
      </c>
      <c r="K130">
        <f t="shared" ca="1" si="5"/>
        <v>-0.19138557287760441</v>
      </c>
      <c r="M130">
        <f t="shared" ca="1" si="4"/>
        <v>505.47307047284619</v>
      </c>
    </row>
    <row r="131" spans="1:13" ht="22" x14ac:dyDescent="0.3">
      <c r="A131" s="8">
        <v>124</v>
      </c>
      <c r="B131" s="9" t="s">
        <v>391</v>
      </c>
      <c r="C131" s="10">
        <v>764.7</v>
      </c>
      <c r="D131" s="10">
        <v>10533780</v>
      </c>
      <c r="E131" s="10" t="s">
        <v>1024</v>
      </c>
      <c r="F131" s="10" t="s">
        <v>1025</v>
      </c>
      <c r="G131" s="10" t="s">
        <v>1026</v>
      </c>
      <c r="I131" s="12">
        <f t="shared" si="3"/>
        <v>1.1984699026018397E-2</v>
      </c>
      <c r="K131">
        <f t="shared" ca="1" si="5"/>
        <v>-1.3281552162888313</v>
      </c>
      <c r="M131">
        <f t="shared" ca="1" si="4"/>
        <v>507.8579152448051</v>
      </c>
    </row>
    <row r="132" spans="1:13" ht="22" x14ac:dyDescent="0.3">
      <c r="A132" s="8">
        <v>123</v>
      </c>
      <c r="B132" s="11">
        <v>46000</v>
      </c>
      <c r="C132" s="10">
        <v>755.59</v>
      </c>
      <c r="D132" s="10">
        <v>8248557</v>
      </c>
      <c r="E132" s="10" t="s">
        <v>1027</v>
      </c>
      <c r="F132" s="10" t="s">
        <v>1028</v>
      </c>
      <c r="G132" s="10" t="s">
        <v>1029</v>
      </c>
      <c r="I132" s="12">
        <f t="shared" ref="I132:I195" si="6">LN(C132)-LN(C133)</f>
        <v>6.2264139183225709E-3</v>
      </c>
      <c r="K132">
        <f t="shared" ca="1" si="5"/>
        <v>0.13390624127005099</v>
      </c>
      <c r="M132">
        <f t="shared" ref="M132:M195" ca="1" si="7">M133*EXP((($P$3-$P$4/2)+$P$5*K132))</f>
        <v>524.46555249014853</v>
      </c>
    </row>
    <row r="133" spans="1:13" ht="22" x14ac:dyDescent="0.3">
      <c r="A133" s="8">
        <v>122</v>
      </c>
      <c r="B133" s="11">
        <v>45970</v>
      </c>
      <c r="C133" s="10">
        <v>750.9</v>
      </c>
      <c r="D133" s="10">
        <v>7923284</v>
      </c>
      <c r="E133" s="10" t="s">
        <v>1030</v>
      </c>
      <c r="F133" s="10" t="s">
        <v>1031</v>
      </c>
      <c r="G133" s="10" t="s">
        <v>1032</v>
      </c>
      <c r="I133" s="12">
        <f t="shared" si="6"/>
        <v>-1.43724074564755E-3</v>
      </c>
      <c r="K133">
        <f t="shared" ca="1" si="5"/>
        <v>-0.20728734690755241</v>
      </c>
      <c r="M133">
        <f t="shared" ca="1" si="7"/>
        <v>522.81398041195291</v>
      </c>
    </row>
    <row r="134" spans="1:13" ht="22" x14ac:dyDescent="0.3">
      <c r="A134" s="8">
        <v>121</v>
      </c>
      <c r="B134" s="11">
        <v>45939</v>
      </c>
      <c r="C134" s="10">
        <v>751.98</v>
      </c>
      <c r="D134" s="10">
        <v>12478280</v>
      </c>
      <c r="E134" s="10" t="s">
        <v>1033</v>
      </c>
      <c r="F134" s="10" t="s">
        <v>1034</v>
      </c>
      <c r="G134" s="10" t="s">
        <v>1035</v>
      </c>
      <c r="I134" s="12">
        <f t="shared" si="6"/>
        <v>-1.8080720267591666E-2</v>
      </c>
      <c r="K134">
        <f t="shared" ref="K134:K197" ca="1" si="8">_xlfn.NORM.S.INV(RAND())</f>
        <v>0.17480233848326837</v>
      </c>
      <c r="M134">
        <f t="shared" ca="1" si="7"/>
        <v>525.48253454214489</v>
      </c>
    </row>
    <row r="135" spans="1:13" ht="22" x14ac:dyDescent="0.3">
      <c r="A135" s="8">
        <v>120</v>
      </c>
      <c r="B135" s="11">
        <v>45909</v>
      </c>
      <c r="C135" s="10">
        <v>765.7</v>
      </c>
      <c r="D135" s="10">
        <v>10999030</v>
      </c>
      <c r="E135" s="10" t="s">
        <v>1036</v>
      </c>
      <c r="F135" s="10" t="s">
        <v>1037</v>
      </c>
      <c r="G135" s="10" t="s">
        <v>1038</v>
      </c>
      <c r="I135" s="12">
        <f t="shared" si="6"/>
        <v>1.7655267552902032E-2</v>
      </c>
      <c r="K135">
        <f t="shared" ca="1" si="8"/>
        <v>-0.92159573463578592</v>
      </c>
      <c r="M135">
        <f t="shared" ca="1" si="7"/>
        <v>523.31032096647357</v>
      </c>
    </row>
    <row r="136" spans="1:13" ht="22" x14ac:dyDescent="0.3">
      <c r="A136" s="8">
        <v>119</v>
      </c>
      <c r="B136" s="11">
        <v>45878</v>
      </c>
      <c r="C136" s="10">
        <v>752.3</v>
      </c>
      <c r="D136" s="10">
        <v>13087820</v>
      </c>
      <c r="E136" s="10" t="s">
        <v>1039</v>
      </c>
      <c r="F136" s="10" t="s">
        <v>1040</v>
      </c>
      <c r="G136" s="10" t="s">
        <v>1041</v>
      </c>
      <c r="I136" s="12">
        <f t="shared" si="6"/>
        <v>-1.9936866655179131E-4</v>
      </c>
      <c r="K136">
        <f t="shared" ca="1" si="8"/>
        <v>0.24468241395343271</v>
      </c>
      <c r="M136">
        <f t="shared" ca="1" si="7"/>
        <v>535.13967454281533</v>
      </c>
    </row>
    <row r="137" spans="1:13" ht="22" x14ac:dyDescent="0.3">
      <c r="A137" s="8">
        <v>118</v>
      </c>
      <c r="B137" s="11">
        <v>45786</v>
      </c>
      <c r="C137" s="10">
        <v>752.45</v>
      </c>
      <c r="D137" s="10">
        <v>9663441</v>
      </c>
      <c r="E137" s="10" t="s">
        <v>1042</v>
      </c>
      <c r="F137" s="10" t="s">
        <v>1043</v>
      </c>
      <c r="G137" s="10" t="s">
        <v>1044</v>
      </c>
      <c r="I137" s="12">
        <f t="shared" si="6"/>
        <v>5.0629646489994684E-3</v>
      </c>
      <c r="K137">
        <f t="shared" ca="1" si="8"/>
        <v>0.75197886987310103</v>
      </c>
      <c r="M137">
        <f t="shared" ca="1" si="7"/>
        <v>532.02833677943636</v>
      </c>
    </row>
    <row r="138" spans="1:13" ht="22" x14ac:dyDescent="0.3">
      <c r="A138" s="8">
        <v>117</v>
      </c>
      <c r="B138" s="11">
        <v>45756</v>
      </c>
      <c r="C138" s="10">
        <v>748.65</v>
      </c>
      <c r="D138" s="10">
        <v>11439080</v>
      </c>
      <c r="E138" s="10" t="s">
        <v>1045</v>
      </c>
      <c r="F138" s="10" t="s">
        <v>1046</v>
      </c>
      <c r="G138" s="10" t="s">
        <v>1047</v>
      </c>
      <c r="I138" s="12">
        <f t="shared" si="6"/>
        <v>1.5615852090441251E-2</v>
      </c>
      <c r="K138">
        <f t="shared" ca="1" si="8"/>
        <v>0.70308011756697908</v>
      </c>
      <c r="M138">
        <f t="shared" ca="1" si="7"/>
        <v>522.49030706290159</v>
      </c>
    </row>
    <row r="139" spans="1:13" ht="22" x14ac:dyDescent="0.3">
      <c r="A139" s="8">
        <v>116</v>
      </c>
      <c r="B139" s="11">
        <v>45725</v>
      </c>
      <c r="C139" s="10">
        <v>737.05</v>
      </c>
      <c r="D139" s="10">
        <v>7699332</v>
      </c>
      <c r="E139" s="10" t="s">
        <v>1048</v>
      </c>
      <c r="F139" s="10" t="s">
        <v>1049</v>
      </c>
      <c r="G139" s="10" t="s">
        <v>1050</v>
      </c>
      <c r="I139" s="12">
        <f t="shared" si="6"/>
        <v>2.635584614425035E-3</v>
      </c>
      <c r="K139">
        <f t="shared" ca="1" si="8"/>
        <v>-1.5516553441889092</v>
      </c>
      <c r="M139">
        <f t="shared" ca="1" si="7"/>
        <v>513.72997964556998</v>
      </c>
    </row>
    <row r="140" spans="1:13" ht="22" x14ac:dyDescent="0.3">
      <c r="A140" s="8">
        <v>115</v>
      </c>
      <c r="B140" s="11">
        <v>45697</v>
      </c>
      <c r="C140" s="10">
        <v>735.11</v>
      </c>
      <c r="D140" s="10">
        <v>9350857</v>
      </c>
      <c r="E140" s="10" t="s">
        <v>1051</v>
      </c>
      <c r="F140" s="10" t="s">
        <v>1048</v>
      </c>
      <c r="G140" s="10" t="s">
        <v>1052</v>
      </c>
      <c r="I140" s="12">
        <f t="shared" si="6"/>
        <v>-4.8717366558301833E-3</v>
      </c>
      <c r="K140">
        <f t="shared" ca="1" si="8"/>
        <v>1.7740669234918964</v>
      </c>
      <c r="M140">
        <f t="shared" ca="1" si="7"/>
        <v>533.40282985993758</v>
      </c>
    </row>
    <row r="141" spans="1:13" ht="22" x14ac:dyDescent="0.3">
      <c r="A141" s="8">
        <v>114</v>
      </c>
      <c r="B141" s="9" t="s">
        <v>406</v>
      </c>
      <c r="C141" s="10">
        <v>738.7</v>
      </c>
      <c r="D141" s="10">
        <v>9070546</v>
      </c>
      <c r="E141" s="10" t="s">
        <v>1053</v>
      </c>
      <c r="F141" s="10" t="s">
        <v>1054</v>
      </c>
      <c r="G141" s="10" t="s">
        <v>1055</v>
      </c>
      <c r="I141" s="12">
        <f t="shared" si="6"/>
        <v>-1.6660227875063605E-2</v>
      </c>
      <c r="K141">
        <f t="shared" ca="1" si="8"/>
        <v>1.008212945483298</v>
      </c>
      <c r="M141">
        <f t="shared" ca="1" si="7"/>
        <v>511.05994809082949</v>
      </c>
    </row>
    <row r="142" spans="1:13" ht="22" x14ac:dyDescent="0.3">
      <c r="A142" s="8">
        <v>113</v>
      </c>
      <c r="B142" s="9" t="s">
        <v>407</v>
      </c>
      <c r="C142" s="10">
        <v>751.11</v>
      </c>
      <c r="D142" s="10">
        <v>7467955</v>
      </c>
      <c r="E142" s="10" t="s">
        <v>748</v>
      </c>
      <c r="F142" s="10" t="s">
        <v>1056</v>
      </c>
      <c r="G142" s="10" t="s">
        <v>1057</v>
      </c>
      <c r="I142" s="12">
        <f t="shared" si="6"/>
        <v>4.978355149112268E-3</v>
      </c>
      <c r="K142">
        <f t="shared" ca="1" si="8"/>
        <v>1.5974620732574587</v>
      </c>
      <c r="M142">
        <f t="shared" ca="1" si="7"/>
        <v>498.79961718914154</v>
      </c>
    </row>
    <row r="143" spans="1:13" ht="22" x14ac:dyDescent="0.3">
      <c r="A143" s="8">
        <v>112</v>
      </c>
      <c r="B143" s="9" t="s">
        <v>410</v>
      </c>
      <c r="C143" s="10">
        <v>747.38</v>
      </c>
      <c r="D143" s="10">
        <v>8315435</v>
      </c>
      <c r="E143" s="10" t="s">
        <v>1058</v>
      </c>
      <c r="F143" s="10" t="s">
        <v>1059</v>
      </c>
      <c r="G143" s="10" t="s">
        <v>1060</v>
      </c>
      <c r="I143" s="12">
        <f t="shared" si="6"/>
        <v>-8.9512279479579959E-3</v>
      </c>
      <c r="K143">
        <f t="shared" ca="1" si="8"/>
        <v>-1.4868129489036297</v>
      </c>
      <c r="M143">
        <f t="shared" ca="1" si="7"/>
        <v>479.95015108560813</v>
      </c>
    </row>
    <row r="144" spans="1:13" ht="22" x14ac:dyDescent="0.3">
      <c r="A144" s="8">
        <v>111</v>
      </c>
      <c r="B144" s="9" t="s">
        <v>413</v>
      </c>
      <c r="C144" s="10">
        <v>754.1</v>
      </c>
      <c r="D144" s="10">
        <v>7601800</v>
      </c>
      <c r="E144" s="10" t="s">
        <v>1061</v>
      </c>
      <c r="F144" s="10" t="s">
        <v>1062</v>
      </c>
      <c r="G144" s="10" t="s">
        <v>1063</v>
      </c>
      <c r="I144" s="12">
        <f t="shared" si="6"/>
        <v>1.0614303769527211E-3</v>
      </c>
      <c r="K144">
        <f t="shared" ca="1" si="8"/>
        <v>-1.4619303157245704</v>
      </c>
      <c r="M144">
        <f t="shared" ca="1" si="7"/>
        <v>497.54917279752681</v>
      </c>
    </row>
    <row r="145" spans="1:13" ht="22" x14ac:dyDescent="0.3">
      <c r="A145" s="8">
        <v>110</v>
      </c>
      <c r="B145" s="9" t="s">
        <v>416</v>
      </c>
      <c r="C145" s="10">
        <v>753.3</v>
      </c>
      <c r="D145" s="10">
        <v>6861158</v>
      </c>
      <c r="E145" s="10" t="s">
        <v>1064</v>
      </c>
      <c r="F145" s="10" t="s">
        <v>1065</v>
      </c>
      <c r="G145" s="10" t="s">
        <v>1066</v>
      </c>
      <c r="I145" s="12">
        <f t="shared" si="6"/>
        <v>-1.9760100323233942E-3</v>
      </c>
      <c r="K145">
        <f t="shared" ca="1" si="8"/>
        <v>-1.0452825620071649</v>
      </c>
      <c r="M145">
        <f t="shared" ca="1" si="7"/>
        <v>515.48346365580903</v>
      </c>
    </row>
    <row r="146" spans="1:13" ht="22" x14ac:dyDescent="0.3">
      <c r="A146" s="8">
        <v>109</v>
      </c>
      <c r="B146" s="9" t="s">
        <v>418</v>
      </c>
      <c r="C146" s="10">
        <v>754.79</v>
      </c>
      <c r="D146" s="10">
        <v>10612670</v>
      </c>
      <c r="E146" s="10" t="s">
        <v>1067</v>
      </c>
      <c r="F146" s="10" t="s">
        <v>1068</v>
      </c>
      <c r="G146" s="10" t="s">
        <v>1069</v>
      </c>
      <c r="I146" s="12">
        <f t="shared" si="6"/>
        <v>2.1006335073130877E-2</v>
      </c>
      <c r="K146">
        <f t="shared" ca="1" si="8"/>
        <v>1.0078801925510377</v>
      </c>
      <c r="M146">
        <f t="shared" ca="1" si="7"/>
        <v>528.71386172517043</v>
      </c>
    </row>
    <row r="147" spans="1:13" ht="22" x14ac:dyDescent="0.3">
      <c r="A147" s="8">
        <v>108</v>
      </c>
      <c r="B147" s="9" t="s">
        <v>420</v>
      </c>
      <c r="C147" s="10">
        <v>739.1</v>
      </c>
      <c r="D147" s="10">
        <v>8876307</v>
      </c>
      <c r="E147" s="10" t="s">
        <v>1070</v>
      </c>
      <c r="F147" s="10" t="s">
        <v>1071</v>
      </c>
      <c r="G147" s="10" t="s">
        <v>1072</v>
      </c>
      <c r="I147" s="12">
        <f t="shared" si="6"/>
        <v>-1.1595346553289865E-2</v>
      </c>
      <c r="K147">
        <f t="shared" ca="1" si="8"/>
        <v>1.9536873191062572E-2</v>
      </c>
      <c r="M147">
        <f t="shared" ca="1" si="7"/>
        <v>516.03416289946199</v>
      </c>
    </row>
    <row r="148" spans="1:13" ht="22" x14ac:dyDescent="0.3">
      <c r="A148" s="8">
        <v>107</v>
      </c>
      <c r="B148" s="9" t="s">
        <v>421</v>
      </c>
      <c r="C148" s="10">
        <v>747.72</v>
      </c>
      <c r="D148" s="10">
        <v>11898190</v>
      </c>
      <c r="E148" s="10" t="s">
        <v>1073</v>
      </c>
      <c r="F148" s="10" t="s">
        <v>1074</v>
      </c>
      <c r="G148" s="10" t="s">
        <v>983</v>
      </c>
      <c r="I148" s="12">
        <f t="shared" si="6"/>
        <v>-5.0160190549668471E-3</v>
      </c>
      <c r="K148">
        <f t="shared" ca="1" si="8"/>
        <v>-1.4248757429381535E-2</v>
      </c>
      <c r="M148">
        <f t="shared" ca="1" si="7"/>
        <v>515.83285339961424</v>
      </c>
    </row>
    <row r="149" spans="1:13" ht="22" x14ac:dyDescent="0.3">
      <c r="A149" s="8">
        <v>106</v>
      </c>
      <c r="B149" s="9" t="s">
        <v>423</v>
      </c>
      <c r="C149" s="10">
        <v>751.48</v>
      </c>
      <c r="D149" s="10">
        <v>12286690</v>
      </c>
      <c r="E149" s="10" t="s">
        <v>1075</v>
      </c>
      <c r="F149" s="10" t="s">
        <v>1076</v>
      </c>
      <c r="G149" s="10" t="s">
        <v>1077</v>
      </c>
      <c r="I149" s="12">
        <f t="shared" si="6"/>
        <v>-2.0924488608162761E-2</v>
      </c>
      <c r="K149">
        <f t="shared" ca="1" si="8"/>
        <v>0.10052321628724456</v>
      </c>
      <c r="M149">
        <f t="shared" ca="1" si="7"/>
        <v>516.05278737915728</v>
      </c>
    </row>
    <row r="150" spans="1:13" ht="22" x14ac:dyDescent="0.3">
      <c r="A150" s="8">
        <v>105</v>
      </c>
      <c r="B150" s="9" t="s">
        <v>426</v>
      </c>
      <c r="C150" s="10">
        <v>767.37</v>
      </c>
      <c r="D150" s="10">
        <v>16513740</v>
      </c>
      <c r="E150" s="10" t="s">
        <v>1078</v>
      </c>
      <c r="F150" s="10" t="s">
        <v>1079</v>
      </c>
      <c r="G150" s="10" t="s">
        <v>1080</v>
      </c>
      <c r="I150" s="12">
        <f t="shared" si="6"/>
        <v>-2.3007584491469224E-2</v>
      </c>
      <c r="K150">
        <f t="shared" ca="1" si="8"/>
        <v>-0.52205380181793137</v>
      </c>
      <c r="M150">
        <f t="shared" ca="1" si="7"/>
        <v>514.84288007278337</v>
      </c>
    </row>
    <row r="151" spans="1:13" ht="22" x14ac:dyDescent="0.3">
      <c r="A151" s="8">
        <v>104</v>
      </c>
      <c r="B151" s="9" t="s">
        <v>428</v>
      </c>
      <c r="C151" s="10">
        <v>785.23</v>
      </c>
      <c r="D151" s="10">
        <v>13375360</v>
      </c>
      <c r="E151" s="10" t="s">
        <v>1081</v>
      </c>
      <c r="F151" s="10" t="s">
        <v>1082</v>
      </c>
      <c r="G151" s="10" t="s">
        <v>1083</v>
      </c>
      <c r="I151" s="12">
        <f t="shared" si="6"/>
        <v>3.9557013606170699E-3</v>
      </c>
      <c r="K151">
        <f t="shared" ca="1" si="8"/>
        <v>0.77603553614794363</v>
      </c>
      <c r="M151">
        <f t="shared" ca="1" si="7"/>
        <v>521.42196054785779</v>
      </c>
    </row>
    <row r="152" spans="1:13" ht="22" x14ac:dyDescent="0.3">
      <c r="A152" s="8">
        <v>103</v>
      </c>
      <c r="B152" s="9" t="s">
        <v>430</v>
      </c>
      <c r="C152" s="10">
        <v>782.13</v>
      </c>
      <c r="D152" s="10">
        <v>8116193</v>
      </c>
      <c r="E152" s="10" t="s">
        <v>1084</v>
      </c>
      <c r="F152" s="10" t="s">
        <v>1085</v>
      </c>
      <c r="G152" s="10" t="s">
        <v>1086</v>
      </c>
      <c r="I152" s="12">
        <f t="shared" si="6"/>
        <v>2.6244886112491983E-3</v>
      </c>
      <c r="K152">
        <f t="shared" ca="1" si="8"/>
        <v>-0.12363674111116296</v>
      </c>
      <c r="M152">
        <f t="shared" ca="1" si="7"/>
        <v>511.77646996103527</v>
      </c>
    </row>
    <row r="153" spans="1:13" ht="22" x14ac:dyDescent="0.3">
      <c r="A153" s="8">
        <v>102</v>
      </c>
      <c r="B153" s="9" t="s">
        <v>432</v>
      </c>
      <c r="C153" s="10">
        <v>780.08</v>
      </c>
      <c r="D153" s="10">
        <v>8811750</v>
      </c>
      <c r="E153" s="10" t="s">
        <v>1087</v>
      </c>
      <c r="F153" s="10" t="s">
        <v>1088</v>
      </c>
      <c r="G153" s="10" t="s">
        <v>1089</v>
      </c>
      <c r="I153" s="12">
        <f t="shared" si="6"/>
        <v>-1.2636466934203838E-2</v>
      </c>
      <c r="K153">
        <f t="shared" ca="1" si="8"/>
        <v>2.0193772943388928</v>
      </c>
      <c r="M153">
        <f t="shared" ca="1" si="7"/>
        <v>513.34990300179379</v>
      </c>
    </row>
    <row r="154" spans="1:13" ht="22" x14ac:dyDescent="0.3">
      <c r="A154" s="8">
        <v>101</v>
      </c>
      <c r="B154" s="11">
        <v>45999</v>
      </c>
      <c r="C154" s="10">
        <v>790</v>
      </c>
      <c r="D154" s="10">
        <v>14579770</v>
      </c>
      <c r="E154" s="10" t="s">
        <v>1090</v>
      </c>
      <c r="F154" s="10" t="s">
        <v>1091</v>
      </c>
      <c r="G154" s="10" t="s">
        <v>1092</v>
      </c>
      <c r="I154" s="12">
        <f t="shared" si="6"/>
        <v>3.1020502917055381E-2</v>
      </c>
      <c r="K154">
        <f t="shared" ca="1" si="8"/>
        <v>-1.3874924123850578</v>
      </c>
      <c r="M154">
        <f t="shared" ca="1" si="7"/>
        <v>488.93986938064893</v>
      </c>
    </row>
    <row r="155" spans="1:13" ht="22" x14ac:dyDescent="0.3">
      <c r="A155" s="8">
        <v>100</v>
      </c>
      <c r="B155" s="11">
        <v>45969</v>
      </c>
      <c r="C155" s="10">
        <v>765.87</v>
      </c>
      <c r="D155" s="10">
        <v>7611964</v>
      </c>
      <c r="E155" s="10" t="s">
        <v>1093</v>
      </c>
      <c r="F155" s="10" t="s">
        <v>1094</v>
      </c>
      <c r="G155" s="10" t="s">
        <v>1095</v>
      </c>
      <c r="I155" s="12">
        <f t="shared" si="6"/>
        <v>-4.4685679208766871E-3</v>
      </c>
      <c r="K155">
        <f t="shared" ca="1" si="8"/>
        <v>0.78821200214509646</v>
      </c>
      <c r="M155">
        <f t="shared" ca="1" si="7"/>
        <v>505.65341708798474</v>
      </c>
    </row>
    <row r="156" spans="1:13" ht="22" x14ac:dyDescent="0.3">
      <c r="A156" s="8">
        <v>99</v>
      </c>
      <c r="B156" s="11">
        <v>45877</v>
      </c>
      <c r="C156" s="10">
        <v>769.3</v>
      </c>
      <c r="D156" s="10">
        <v>7320755</v>
      </c>
      <c r="E156" s="10" t="s">
        <v>1096</v>
      </c>
      <c r="F156" s="10" t="s">
        <v>1097</v>
      </c>
      <c r="G156" s="10" t="s">
        <v>1098</v>
      </c>
      <c r="I156" s="12">
        <f t="shared" si="6"/>
        <v>9.7575767809665592E-3</v>
      </c>
      <c r="K156">
        <f t="shared" ca="1" si="8"/>
        <v>-0.38288039755378206</v>
      </c>
      <c r="M156">
        <f t="shared" ca="1" si="7"/>
        <v>496.15360247528912</v>
      </c>
    </row>
    <row r="157" spans="1:13" ht="22" x14ac:dyDescent="0.3">
      <c r="A157" s="8">
        <v>98</v>
      </c>
      <c r="B157" s="11">
        <v>45846</v>
      </c>
      <c r="C157" s="10">
        <v>761.83</v>
      </c>
      <c r="D157" s="10">
        <v>9019691</v>
      </c>
      <c r="E157" s="10" t="s">
        <v>1099</v>
      </c>
      <c r="F157" s="10" t="s">
        <v>1100</v>
      </c>
      <c r="G157" s="10" t="s">
        <v>1101</v>
      </c>
      <c r="I157" s="12">
        <f t="shared" si="6"/>
        <v>-1.3248162889082593E-2</v>
      </c>
      <c r="K157">
        <f t="shared" ca="1" si="8"/>
        <v>-0.74365276380575474</v>
      </c>
      <c r="M157">
        <f t="shared" ca="1" si="7"/>
        <v>500.8066807972736</v>
      </c>
    </row>
    <row r="158" spans="1:13" ht="22" x14ac:dyDescent="0.3">
      <c r="A158" s="8">
        <v>97</v>
      </c>
      <c r="B158" s="11">
        <v>45816</v>
      </c>
      <c r="C158" s="10">
        <v>771.99</v>
      </c>
      <c r="D158" s="10">
        <v>9733910</v>
      </c>
      <c r="E158" s="10" t="s">
        <v>1102</v>
      </c>
      <c r="F158" s="10" t="s">
        <v>1103</v>
      </c>
      <c r="G158" s="10" t="s">
        <v>1104</v>
      </c>
      <c r="I158" s="12">
        <f t="shared" si="6"/>
        <v>1.1110863594530507E-2</v>
      </c>
      <c r="K158">
        <f t="shared" ca="1" si="8"/>
        <v>-1.1220288221547894</v>
      </c>
      <c r="M158">
        <f t="shared" ca="1" si="7"/>
        <v>509.92984375044216</v>
      </c>
    </row>
    <row r="159" spans="1:13" ht="22" x14ac:dyDescent="0.3">
      <c r="A159" s="8">
        <v>96</v>
      </c>
      <c r="B159" s="11">
        <v>45785</v>
      </c>
      <c r="C159" s="10">
        <v>763.46</v>
      </c>
      <c r="D159" s="10">
        <v>11640290</v>
      </c>
      <c r="E159" s="10" t="s">
        <v>1105</v>
      </c>
      <c r="F159" s="10" t="s">
        <v>1106</v>
      </c>
      <c r="G159" s="10" t="s">
        <v>1107</v>
      </c>
      <c r="I159" s="12">
        <f t="shared" si="6"/>
        <v>-1.6768477693489103E-2</v>
      </c>
      <c r="K159">
        <f t="shared" ca="1" si="8"/>
        <v>-3.9707363236112042E-2</v>
      </c>
      <c r="M159">
        <f t="shared" ca="1" si="7"/>
        <v>523.98861433707111</v>
      </c>
    </row>
    <row r="160" spans="1:13" ht="22" x14ac:dyDescent="0.3">
      <c r="A160" s="8">
        <v>95</v>
      </c>
      <c r="B160" s="11">
        <v>45755</v>
      </c>
      <c r="C160" s="10">
        <v>776.37</v>
      </c>
      <c r="D160" s="10">
        <v>15801730</v>
      </c>
      <c r="E160" s="10" t="s">
        <v>1108</v>
      </c>
      <c r="F160" s="10" t="s">
        <v>1109</v>
      </c>
      <c r="G160" s="10" t="s">
        <v>1110</v>
      </c>
      <c r="I160" s="12">
        <f t="shared" si="6"/>
        <v>3.4542670897161898E-2</v>
      </c>
      <c r="K160">
        <f t="shared" ca="1" si="8"/>
        <v>-0.37855846865990955</v>
      </c>
      <c r="M160">
        <f t="shared" ca="1" si="7"/>
        <v>524.53463619233821</v>
      </c>
    </row>
    <row r="161" spans="1:13" ht="22" x14ac:dyDescent="0.3">
      <c r="A161" s="8">
        <v>94</v>
      </c>
      <c r="B161" s="11">
        <v>45665</v>
      </c>
      <c r="C161" s="10">
        <v>750.01</v>
      </c>
      <c r="D161" s="10">
        <v>19028710</v>
      </c>
      <c r="E161" s="10" t="s">
        <v>1111</v>
      </c>
      <c r="F161" s="10" t="s">
        <v>1112</v>
      </c>
      <c r="G161" s="10" t="s">
        <v>1113</v>
      </c>
      <c r="I161" s="12">
        <f t="shared" si="6"/>
        <v>-3.076155774031708E-2</v>
      </c>
      <c r="K161">
        <f t="shared" ca="1" si="8"/>
        <v>-0.16079977027990563</v>
      </c>
      <c r="M161">
        <f t="shared" ca="1" si="7"/>
        <v>529.3985853493275</v>
      </c>
    </row>
    <row r="162" spans="1:13" ht="22" x14ac:dyDescent="0.3">
      <c r="A162" s="8">
        <v>93</v>
      </c>
      <c r="B162" s="9" t="s">
        <v>450</v>
      </c>
      <c r="C162" s="10">
        <v>773.44</v>
      </c>
      <c r="D162" s="10">
        <v>38831100</v>
      </c>
      <c r="E162" s="10" t="s">
        <v>1114</v>
      </c>
      <c r="F162" s="10" t="s">
        <v>1115</v>
      </c>
      <c r="G162" s="10" t="s">
        <v>1116</v>
      </c>
      <c r="I162" s="12">
        <f t="shared" si="6"/>
        <v>0.10663413931756249</v>
      </c>
      <c r="K162">
        <f t="shared" ca="1" si="8"/>
        <v>-1.507175401075201</v>
      </c>
      <c r="M162">
        <f t="shared" ca="1" si="7"/>
        <v>531.50331435159251</v>
      </c>
    </row>
    <row r="163" spans="1:13" ht="22" x14ac:dyDescent="0.3">
      <c r="A163" s="8">
        <v>92</v>
      </c>
      <c r="B163" s="9" t="s">
        <v>454</v>
      </c>
      <c r="C163" s="10">
        <v>695.21</v>
      </c>
      <c r="D163" s="10">
        <v>27077290</v>
      </c>
      <c r="E163" s="10" t="s">
        <v>1117</v>
      </c>
      <c r="F163" s="10" t="s">
        <v>1118</v>
      </c>
      <c r="G163" s="10" t="s">
        <v>1119</v>
      </c>
      <c r="I163" s="12">
        <f t="shared" si="6"/>
        <v>-6.8663768458483432E-3</v>
      </c>
      <c r="K163">
        <f t="shared" ca="1" si="8"/>
        <v>-1.0574804381584009</v>
      </c>
      <c r="M163">
        <f t="shared" ca="1" si="7"/>
        <v>551.26390774378342</v>
      </c>
    </row>
    <row r="164" spans="1:13" ht="22" x14ac:dyDescent="0.3">
      <c r="A164" s="8">
        <v>91</v>
      </c>
      <c r="B164" s="9" t="s">
        <v>457</v>
      </c>
      <c r="C164" s="10">
        <v>700</v>
      </c>
      <c r="D164" s="10">
        <v>13267030</v>
      </c>
      <c r="E164" s="10" t="s">
        <v>1120</v>
      </c>
      <c r="F164" s="10" t="s">
        <v>1121</v>
      </c>
      <c r="G164" s="10" t="s">
        <v>1122</v>
      </c>
      <c r="I164" s="12">
        <f t="shared" si="6"/>
        <v>-2.4873780847401328E-2</v>
      </c>
      <c r="K164">
        <f t="shared" ca="1" si="8"/>
        <v>1.3207039189956757</v>
      </c>
      <c r="M164">
        <f t="shared" ca="1" si="7"/>
        <v>565.57933955065835</v>
      </c>
    </row>
    <row r="165" spans="1:13" ht="22" x14ac:dyDescent="0.3">
      <c r="A165" s="8">
        <v>90</v>
      </c>
      <c r="B165" s="9" t="s">
        <v>460</v>
      </c>
      <c r="C165" s="10">
        <v>717.63</v>
      </c>
      <c r="D165" s="10">
        <v>8715743</v>
      </c>
      <c r="E165" s="10" t="s">
        <v>1123</v>
      </c>
      <c r="F165" s="10" t="s">
        <v>1124</v>
      </c>
      <c r="G165" s="10" t="s">
        <v>1125</v>
      </c>
      <c r="I165" s="12">
        <f t="shared" si="6"/>
        <v>6.9216040750363916E-3</v>
      </c>
      <c r="K165">
        <f t="shared" ca="1" si="8"/>
        <v>-0.26876524635995325</v>
      </c>
      <c r="M165">
        <f t="shared" ca="1" si="7"/>
        <v>547.85820382636166</v>
      </c>
    </row>
    <row r="166" spans="1:13" ht="22" x14ac:dyDescent="0.3">
      <c r="A166" s="8">
        <v>89</v>
      </c>
      <c r="B166" s="9" t="s">
        <v>463</v>
      </c>
      <c r="C166" s="10">
        <v>712.68</v>
      </c>
      <c r="D166" s="10">
        <v>8271698</v>
      </c>
      <c r="E166" s="10" t="s">
        <v>1126</v>
      </c>
      <c r="F166" s="10" t="s">
        <v>1127</v>
      </c>
      <c r="G166" s="10" t="s">
        <v>1128</v>
      </c>
      <c r="I166" s="12">
        <f t="shared" si="6"/>
        <v>-2.9702714695032384E-3</v>
      </c>
      <c r="K166">
        <f t="shared" ca="1" si="8"/>
        <v>-0.22580278411753893</v>
      </c>
      <c r="M166">
        <f t="shared" ca="1" si="7"/>
        <v>551.47328804166978</v>
      </c>
    </row>
    <row r="167" spans="1:13" ht="22" x14ac:dyDescent="0.3">
      <c r="A167" s="8">
        <v>88</v>
      </c>
      <c r="B167" s="9" t="s">
        <v>465</v>
      </c>
      <c r="C167" s="10">
        <v>714.8</v>
      </c>
      <c r="D167" s="10">
        <v>10920840</v>
      </c>
      <c r="E167" s="10" t="s">
        <v>1129</v>
      </c>
      <c r="F167" s="10" t="s">
        <v>1130</v>
      </c>
      <c r="G167" s="10" t="s">
        <v>1131</v>
      </c>
      <c r="I167" s="12">
        <f t="shared" si="6"/>
        <v>1.7082293180639141E-3</v>
      </c>
      <c r="K167">
        <f t="shared" ca="1" si="8"/>
        <v>0.62999138657113229</v>
      </c>
      <c r="M167">
        <f t="shared" ca="1" si="7"/>
        <v>554.536192997841</v>
      </c>
    </row>
    <row r="168" spans="1:13" ht="22" x14ac:dyDescent="0.3">
      <c r="A168" s="8">
        <v>87</v>
      </c>
      <c r="B168" s="9" t="s">
        <v>467</v>
      </c>
      <c r="C168" s="10">
        <v>713.58</v>
      </c>
      <c r="D168" s="10">
        <v>8771615</v>
      </c>
      <c r="E168" s="10" t="s">
        <v>1132</v>
      </c>
      <c r="F168" s="10" t="s">
        <v>1133</v>
      </c>
      <c r="G168" s="10" t="s">
        <v>1134</v>
      </c>
      <c r="I168" s="12">
        <f t="shared" si="6"/>
        <v>1.236629102364617E-2</v>
      </c>
      <c r="K168">
        <f t="shared" ca="1" si="8"/>
        <v>0.47408770142514634</v>
      </c>
      <c r="M168">
        <f t="shared" ca="1" si="7"/>
        <v>546.20245074339039</v>
      </c>
    </row>
    <row r="169" spans="1:13" ht="22" x14ac:dyDescent="0.3">
      <c r="A169" s="8">
        <v>86</v>
      </c>
      <c r="B169" s="9" t="s">
        <v>470</v>
      </c>
      <c r="C169" s="10">
        <v>704.81</v>
      </c>
      <c r="D169" s="10">
        <v>8921064</v>
      </c>
      <c r="E169" s="10" t="s">
        <v>1135</v>
      </c>
      <c r="F169" s="10" t="s">
        <v>1136</v>
      </c>
      <c r="G169" s="10" t="s">
        <v>1137</v>
      </c>
      <c r="I169" s="12">
        <f t="shared" si="6"/>
        <v>-1.1504067906813908E-2</v>
      </c>
      <c r="K169">
        <f t="shared" ca="1" si="8"/>
        <v>-0.92955621368730845</v>
      </c>
      <c r="M169">
        <f t="shared" ca="1" si="7"/>
        <v>540.02469598891923</v>
      </c>
    </row>
    <row r="170" spans="1:13" ht="22" x14ac:dyDescent="0.3">
      <c r="A170" s="8">
        <v>85</v>
      </c>
      <c r="B170" s="9" t="s">
        <v>473</v>
      </c>
      <c r="C170" s="10">
        <v>712.96500000000003</v>
      </c>
      <c r="D170" s="10">
        <v>9404391</v>
      </c>
      <c r="E170" s="10" t="s">
        <v>1138</v>
      </c>
      <c r="F170" s="10" t="s">
        <v>739</v>
      </c>
      <c r="G170" s="10" t="s">
        <v>1139</v>
      </c>
      <c r="I170" s="12">
        <f t="shared" si="6"/>
        <v>1.2256326492132708E-2</v>
      </c>
      <c r="K170">
        <f t="shared" ca="1" si="8"/>
        <v>-1.3455903564074161</v>
      </c>
      <c r="M170">
        <f t="shared" ca="1" si="7"/>
        <v>552.33811991451796</v>
      </c>
    </row>
    <row r="171" spans="1:13" ht="22" x14ac:dyDescent="0.3">
      <c r="A171" s="8">
        <v>84</v>
      </c>
      <c r="B171" s="9" t="s">
        <v>475</v>
      </c>
      <c r="C171" s="10">
        <v>704.28</v>
      </c>
      <c r="D171" s="10">
        <v>12779750</v>
      </c>
      <c r="E171" s="10" t="s">
        <v>1140</v>
      </c>
      <c r="F171" s="10" t="s">
        <v>1141</v>
      </c>
      <c r="G171" s="10" t="s">
        <v>1142</v>
      </c>
      <c r="I171" s="12">
        <f t="shared" si="6"/>
        <v>4.0834095539130644E-3</v>
      </c>
      <c r="K171">
        <f t="shared" ca="1" si="8"/>
        <v>0.47175494131300644</v>
      </c>
      <c r="M171">
        <f t="shared" ca="1" si="7"/>
        <v>570.64070065374096</v>
      </c>
    </row>
    <row r="172" spans="1:13" ht="22" x14ac:dyDescent="0.3">
      <c r="A172" s="8">
        <v>83</v>
      </c>
      <c r="B172" s="9" t="s">
        <v>478</v>
      </c>
      <c r="C172" s="10">
        <v>701.41</v>
      </c>
      <c r="D172" s="10">
        <v>11803260</v>
      </c>
      <c r="E172" s="10" t="s">
        <v>1143</v>
      </c>
      <c r="F172" s="10" t="s">
        <v>1144</v>
      </c>
      <c r="G172" s="10" t="s">
        <v>1145</v>
      </c>
      <c r="I172" s="12">
        <f t="shared" si="6"/>
        <v>-2.1362660511199394E-3</v>
      </c>
      <c r="K172">
        <f t="shared" ca="1" si="8"/>
        <v>-0.61900918124372406</v>
      </c>
      <c r="M172">
        <f t="shared" ca="1" si="7"/>
        <v>564.21834606985908</v>
      </c>
    </row>
    <row r="173" spans="1:13" ht="22" x14ac:dyDescent="0.3">
      <c r="A173" s="8">
        <v>82</v>
      </c>
      <c r="B173" s="9" t="s">
        <v>481</v>
      </c>
      <c r="C173" s="10">
        <v>702.91</v>
      </c>
      <c r="D173" s="10">
        <v>13067630</v>
      </c>
      <c r="E173" s="10" t="s">
        <v>1146</v>
      </c>
      <c r="F173" s="10" t="s">
        <v>1147</v>
      </c>
      <c r="G173" s="10" t="s">
        <v>1148</v>
      </c>
      <c r="I173" s="12">
        <f t="shared" si="6"/>
        <v>-1.0585254146857181E-2</v>
      </c>
      <c r="K173">
        <f t="shared" ca="1" si="8"/>
        <v>-1.294921899461148</v>
      </c>
      <c r="M173">
        <f t="shared" ca="1" si="7"/>
        <v>572.76882191067648</v>
      </c>
    </row>
    <row r="174" spans="1:13" ht="22" x14ac:dyDescent="0.3">
      <c r="A174" s="8">
        <v>81</v>
      </c>
      <c r="B174" s="9" t="s">
        <v>484</v>
      </c>
      <c r="C174" s="10">
        <v>710.39</v>
      </c>
      <c r="D174" s="10">
        <v>11529510</v>
      </c>
      <c r="E174" s="10" t="s">
        <v>959</v>
      </c>
      <c r="F174" s="10" t="s">
        <v>1149</v>
      </c>
      <c r="G174" s="10" t="s">
        <v>1150</v>
      </c>
      <c r="I174" s="12">
        <f t="shared" si="6"/>
        <v>-1.4714059122296952E-2</v>
      </c>
      <c r="K174">
        <f t="shared" ca="1" si="8"/>
        <v>0.6918931797915342</v>
      </c>
      <c r="M174">
        <f t="shared" ca="1" si="7"/>
        <v>591.02428280786864</v>
      </c>
    </row>
    <row r="175" spans="1:13" ht="22" x14ac:dyDescent="0.3">
      <c r="A175" s="8">
        <v>80</v>
      </c>
      <c r="B175" s="9" t="s">
        <v>488</v>
      </c>
      <c r="C175" s="10">
        <v>720.92</v>
      </c>
      <c r="D175" s="10">
        <v>8939399</v>
      </c>
      <c r="E175" s="10" t="s">
        <v>1151</v>
      </c>
      <c r="F175" s="10" t="s">
        <v>1152</v>
      </c>
      <c r="G175" s="10" t="s">
        <v>1153</v>
      </c>
      <c r="I175" s="12">
        <f t="shared" si="6"/>
        <v>4.7412893057217076E-3</v>
      </c>
      <c r="K175">
        <f t="shared" ca="1" si="8"/>
        <v>1.2066412891864946</v>
      </c>
      <c r="M175">
        <f t="shared" ca="1" si="7"/>
        <v>581.27200268763545</v>
      </c>
    </row>
    <row r="176" spans="1:13" ht="22" x14ac:dyDescent="0.3">
      <c r="A176" s="8">
        <v>79</v>
      </c>
      <c r="B176" s="11">
        <v>45968</v>
      </c>
      <c r="C176" s="10">
        <v>717.51</v>
      </c>
      <c r="D176" s="10">
        <v>10873880</v>
      </c>
      <c r="E176" s="10" t="s">
        <v>1154</v>
      </c>
      <c r="F176" s="10" t="s">
        <v>1155</v>
      </c>
      <c r="G176" s="10" t="s">
        <v>1156</v>
      </c>
      <c r="I176" s="12">
        <f t="shared" si="6"/>
        <v>-1.3469662032188801E-2</v>
      </c>
      <c r="K176">
        <f t="shared" ca="1" si="8"/>
        <v>-0.51286415604550406</v>
      </c>
      <c r="M176">
        <f t="shared" ca="1" si="7"/>
        <v>564.6133465497561</v>
      </c>
    </row>
    <row r="177" spans="1:13" ht="22" x14ac:dyDescent="0.3">
      <c r="A177" s="8">
        <v>78</v>
      </c>
      <c r="B177" s="11">
        <v>45937</v>
      </c>
      <c r="C177" s="10">
        <v>727.24</v>
      </c>
      <c r="D177" s="10">
        <v>9922249</v>
      </c>
      <c r="E177" s="10" t="s">
        <v>1157</v>
      </c>
      <c r="F177" s="10" t="s">
        <v>1158</v>
      </c>
      <c r="G177" s="10" t="s">
        <v>1159</v>
      </c>
      <c r="I177" s="12">
        <f t="shared" si="6"/>
        <v>-7.5889735599803387E-3</v>
      </c>
      <c r="K177">
        <f t="shared" ca="1" si="8"/>
        <v>-1.314491101796071</v>
      </c>
      <c r="M177">
        <f t="shared" ca="1" si="7"/>
        <v>571.70145905519303</v>
      </c>
    </row>
    <row r="178" spans="1:13" ht="22" x14ac:dyDescent="0.3">
      <c r="A178" s="8">
        <v>77</v>
      </c>
      <c r="B178" s="11">
        <v>45907</v>
      </c>
      <c r="C178" s="10">
        <v>732.78</v>
      </c>
      <c r="D178" s="10">
        <v>11417960</v>
      </c>
      <c r="E178" s="10" t="s">
        <v>1160</v>
      </c>
      <c r="F178" s="10" t="s">
        <v>1161</v>
      </c>
      <c r="G178" s="10" t="s">
        <v>1160</v>
      </c>
      <c r="I178" s="12">
        <f t="shared" si="6"/>
        <v>1.6664185543803889E-2</v>
      </c>
      <c r="K178">
        <f t="shared" ca="1" si="8"/>
        <v>-1.3398873174449311</v>
      </c>
      <c r="M178">
        <f t="shared" ca="1" si="7"/>
        <v>590.20194574983259</v>
      </c>
    </row>
    <row r="179" spans="1:13" ht="22" x14ac:dyDescent="0.3">
      <c r="A179" s="8">
        <v>76</v>
      </c>
      <c r="B179" s="11">
        <v>45876</v>
      </c>
      <c r="C179" s="10">
        <v>720.67</v>
      </c>
      <c r="D179" s="10">
        <v>7770693</v>
      </c>
      <c r="E179" s="10" t="s">
        <v>1162</v>
      </c>
      <c r="F179" s="10" t="s">
        <v>1163</v>
      </c>
      <c r="G179" s="10" t="s">
        <v>1164</v>
      </c>
      <c r="I179" s="12">
        <f t="shared" si="6"/>
        <v>3.2244194105199853E-3</v>
      </c>
      <c r="K179">
        <f t="shared" ca="1" si="8"/>
        <v>0.48579403059831333</v>
      </c>
      <c r="M179">
        <f t="shared" ca="1" si="7"/>
        <v>609.67517239030406</v>
      </c>
    </row>
    <row r="180" spans="1:13" ht="22" x14ac:dyDescent="0.3">
      <c r="A180" s="8">
        <v>75</v>
      </c>
      <c r="B180" s="11">
        <v>45845</v>
      </c>
      <c r="C180" s="10">
        <v>718.35</v>
      </c>
      <c r="D180" s="10">
        <v>9457080</v>
      </c>
      <c r="E180" s="10" t="s">
        <v>1151</v>
      </c>
      <c r="F180" s="10" t="s">
        <v>1165</v>
      </c>
      <c r="G180" s="10" t="s">
        <v>1166</v>
      </c>
      <c r="I180" s="12">
        <f t="shared" si="6"/>
        <v>-9.1835037344178971E-4</v>
      </c>
      <c r="K180">
        <f t="shared" ca="1" si="8"/>
        <v>0.31072754059770347</v>
      </c>
      <c r="M180">
        <f t="shared" ca="1" si="7"/>
        <v>602.60901860425724</v>
      </c>
    </row>
    <row r="181" spans="1:13" ht="22" x14ac:dyDescent="0.3">
      <c r="A181" s="8">
        <v>74</v>
      </c>
      <c r="B181" s="11">
        <v>45723</v>
      </c>
      <c r="C181" s="10">
        <v>719.01</v>
      </c>
      <c r="D181" s="10">
        <v>8601653</v>
      </c>
      <c r="E181" s="10" t="s">
        <v>1167</v>
      </c>
      <c r="F181" s="10" t="s">
        <v>1168</v>
      </c>
      <c r="G181" s="10" t="s">
        <v>1169</v>
      </c>
      <c r="I181" s="12">
        <f t="shared" si="6"/>
        <v>7.5947258068351786E-3</v>
      </c>
      <c r="K181">
        <f t="shared" ca="1" si="8"/>
        <v>-1.6671961440186416</v>
      </c>
      <c r="M181">
        <f t="shared" ca="1" si="7"/>
        <v>598.14997527289825</v>
      </c>
    </row>
    <row r="182" spans="1:13" ht="22" x14ac:dyDescent="0.3">
      <c r="A182" s="8">
        <v>73</v>
      </c>
      <c r="B182" s="11">
        <v>45695</v>
      </c>
      <c r="C182" s="10">
        <v>713.57</v>
      </c>
      <c r="D182" s="10">
        <v>9336740</v>
      </c>
      <c r="E182" s="10" t="s">
        <v>1170</v>
      </c>
      <c r="F182" s="10" t="s">
        <v>1171</v>
      </c>
      <c r="G182" s="10" t="s">
        <v>1172</v>
      </c>
      <c r="I182" s="12">
        <f t="shared" si="6"/>
        <v>-7.8867514237286329E-3</v>
      </c>
      <c r="K182">
        <f t="shared" ca="1" si="8"/>
        <v>-0.66219756249090378</v>
      </c>
      <c r="M182">
        <f t="shared" ca="1" si="7"/>
        <v>622.79212048062084</v>
      </c>
    </row>
    <row r="183" spans="1:13" ht="22" x14ac:dyDescent="0.3">
      <c r="A183" s="8">
        <v>72</v>
      </c>
      <c r="B183" s="11">
        <v>45664</v>
      </c>
      <c r="C183" s="10">
        <v>719.22</v>
      </c>
      <c r="D183" s="10">
        <v>13431250</v>
      </c>
      <c r="E183" s="10" t="s">
        <v>1173</v>
      </c>
      <c r="F183" s="10" t="s">
        <v>1174</v>
      </c>
      <c r="G183" s="10" t="s">
        <v>1175</v>
      </c>
      <c r="I183" s="12">
        <f t="shared" si="6"/>
        <v>-2.5898476937475934E-2</v>
      </c>
      <c r="K183">
        <f t="shared" ca="1" si="8"/>
        <v>-1.0378660392682975</v>
      </c>
      <c r="M183">
        <f t="shared" ca="1" si="7"/>
        <v>632.8904505340422</v>
      </c>
    </row>
    <row r="184" spans="1:13" ht="22" x14ac:dyDescent="0.3">
      <c r="A184" s="8">
        <v>71</v>
      </c>
      <c r="B184" s="9" t="s">
        <v>511</v>
      </c>
      <c r="C184" s="10">
        <v>738.09</v>
      </c>
      <c r="D184" s="10">
        <v>15402110</v>
      </c>
      <c r="E184" s="10" t="s">
        <v>1002</v>
      </c>
      <c r="F184" s="10" t="s">
        <v>1176</v>
      </c>
      <c r="G184" s="10" t="s">
        <v>1177</v>
      </c>
      <c r="I184" s="12">
        <f t="shared" si="6"/>
        <v>6.0609540581468835E-3</v>
      </c>
      <c r="K184">
        <f t="shared" ca="1" si="8"/>
        <v>0.20713207012311816</v>
      </c>
      <c r="M184">
        <f t="shared" ca="1" si="7"/>
        <v>649.01788419613661</v>
      </c>
    </row>
    <row r="185" spans="1:13" ht="22" x14ac:dyDescent="0.3">
      <c r="A185" s="8">
        <v>70</v>
      </c>
      <c r="B185" s="9" t="s">
        <v>514</v>
      </c>
      <c r="C185" s="10">
        <v>733.63</v>
      </c>
      <c r="D185" s="10">
        <v>18775740</v>
      </c>
      <c r="E185" s="10" t="s">
        <v>1178</v>
      </c>
      <c r="F185" s="10" t="s">
        <v>1179</v>
      </c>
      <c r="G185" s="10" t="s">
        <v>1180</v>
      </c>
      <c r="I185" s="12">
        <f t="shared" si="6"/>
        <v>1.0330840242714245E-2</v>
      </c>
      <c r="K185">
        <f t="shared" ca="1" si="8"/>
        <v>0.62265252000955762</v>
      </c>
      <c r="M185">
        <f t="shared" ca="1" si="7"/>
        <v>645.83023640159877</v>
      </c>
    </row>
    <row r="186" spans="1:13" ht="22" x14ac:dyDescent="0.3">
      <c r="A186" s="8">
        <v>69</v>
      </c>
      <c r="B186" s="9" t="s">
        <v>516</v>
      </c>
      <c r="C186" s="10">
        <v>726.09</v>
      </c>
      <c r="D186" s="10">
        <v>13964790</v>
      </c>
      <c r="E186" s="10" t="s">
        <v>1181</v>
      </c>
      <c r="F186" s="10" t="s">
        <v>1182</v>
      </c>
      <c r="G186" s="10" t="s">
        <v>1183</v>
      </c>
      <c r="I186" s="12">
        <f t="shared" si="6"/>
        <v>2.4269889351441698E-2</v>
      </c>
      <c r="K186">
        <f t="shared" ca="1" si="8"/>
        <v>1.8051426133669786</v>
      </c>
      <c r="M186">
        <f t="shared" ca="1" si="7"/>
        <v>636.23732586969197</v>
      </c>
    </row>
    <row r="187" spans="1:13" ht="22" x14ac:dyDescent="0.3">
      <c r="A187" s="8">
        <v>68</v>
      </c>
      <c r="B187" s="9" t="s">
        <v>517</v>
      </c>
      <c r="C187" s="10">
        <v>708.68</v>
      </c>
      <c r="D187" s="10">
        <v>9320436</v>
      </c>
      <c r="E187" s="10" t="s">
        <v>1184</v>
      </c>
      <c r="F187" s="10" t="s">
        <v>1185</v>
      </c>
      <c r="G187" s="10" t="s">
        <v>1186</v>
      </c>
      <c r="I187" s="12">
        <f t="shared" si="6"/>
        <v>-4.95468611144112E-3</v>
      </c>
      <c r="K187">
        <f t="shared" ca="1" si="8"/>
        <v>0.18910596045729899</v>
      </c>
      <c r="M187">
        <f t="shared" ca="1" si="7"/>
        <v>609.12935849895507</v>
      </c>
    </row>
    <row r="188" spans="1:13" ht="22" x14ac:dyDescent="0.3">
      <c r="A188" s="8">
        <v>67</v>
      </c>
      <c r="B188" s="9" t="s">
        <v>520</v>
      </c>
      <c r="C188" s="10">
        <v>712.2</v>
      </c>
      <c r="D188" s="10">
        <v>13823180</v>
      </c>
      <c r="E188" s="10" t="s">
        <v>1187</v>
      </c>
      <c r="F188" s="10" t="s">
        <v>1188</v>
      </c>
      <c r="G188" s="10" t="s">
        <v>1189</v>
      </c>
      <c r="I188" s="12">
        <f t="shared" si="6"/>
        <v>1.9380643892143112E-2</v>
      </c>
      <c r="K188">
        <f t="shared" ca="1" si="8"/>
        <v>-1.2591003768909483</v>
      </c>
      <c r="M188">
        <f t="shared" ca="1" si="7"/>
        <v>606.40172467490265</v>
      </c>
    </row>
    <row r="189" spans="1:13" ht="22" x14ac:dyDescent="0.3">
      <c r="A189" s="8">
        <v>66</v>
      </c>
      <c r="B189" s="9" t="s">
        <v>522</v>
      </c>
      <c r="C189" s="10">
        <v>698.53</v>
      </c>
      <c r="D189" s="10">
        <v>11080060</v>
      </c>
      <c r="E189" s="10" t="s">
        <v>1190</v>
      </c>
      <c r="F189" s="10" t="s">
        <v>1191</v>
      </c>
      <c r="G189" s="10" t="s">
        <v>1192</v>
      </c>
      <c r="I189" s="12">
        <f t="shared" si="6"/>
        <v>2.3435404267411641E-2</v>
      </c>
      <c r="K189">
        <f t="shared" ca="1" si="8"/>
        <v>-0.88554542942139736</v>
      </c>
      <c r="M189">
        <f t="shared" ca="1" si="7"/>
        <v>625.18770926104935</v>
      </c>
    </row>
    <row r="190" spans="1:13" ht="22" x14ac:dyDescent="0.3">
      <c r="A190" s="8">
        <v>65</v>
      </c>
      <c r="B190" s="9" t="s">
        <v>526</v>
      </c>
      <c r="C190" s="10">
        <v>682.35</v>
      </c>
      <c r="D190" s="10">
        <v>22538640</v>
      </c>
      <c r="E190" s="10" t="s">
        <v>1193</v>
      </c>
      <c r="F190" s="10" t="s">
        <v>1194</v>
      </c>
      <c r="G190" s="10" t="s">
        <v>1195</v>
      </c>
      <c r="I190" s="12">
        <f t="shared" si="6"/>
        <v>-1.947642326631982E-2</v>
      </c>
      <c r="K190">
        <f t="shared" ca="1" si="8"/>
        <v>1.3584958841141661</v>
      </c>
      <c r="M190">
        <f t="shared" ca="1" si="7"/>
        <v>638.76326048605074</v>
      </c>
    </row>
    <row r="191" spans="1:13" ht="22" x14ac:dyDescent="0.3">
      <c r="A191" s="8">
        <v>64</v>
      </c>
      <c r="B191" s="9" t="s">
        <v>528</v>
      </c>
      <c r="C191" s="10">
        <v>695.77</v>
      </c>
      <c r="D191" s="10">
        <v>10068260</v>
      </c>
      <c r="E191" s="10" t="s">
        <v>1196</v>
      </c>
      <c r="F191" s="10" t="s">
        <v>1197</v>
      </c>
      <c r="G191" s="10" t="s">
        <v>1198</v>
      </c>
      <c r="I191" s="12">
        <f t="shared" si="6"/>
        <v>-2.0961960295879933E-3</v>
      </c>
      <c r="K191">
        <f t="shared" ca="1" si="8"/>
        <v>-0.14820290063765362</v>
      </c>
      <c r="M191">
        <f t="shared" ca="1" si="7"/>
        <v>618.18424217482925</v>
      </c>
    </row>
    <row r="192" spans="1:13" ht="22" x14ac:dyDescent="0.3">
      <c r="A192" s="8">
        <v>63</v>
      </c>
      <c r="B192" s="9" t="s">
        <v>531</v>
      </c>
      <c r="C192" s="10">
        <v>697.23</v>
      </c>
      <c r="D192" s="10">
        <v>10066110</v>
      </c>
      <c r="E192" s="10" t="s">
        <v>1199</v>
      </c>
      <c r="F192" s="10" t="s">
        <v>1200</v>
      </c>
      <c r="G192" s="10" t="s">
        <v>1201</v>
      </c>
      <c r="I192" s="12">
        <f t="shared" si="6"/>
        <v>-6.9889876081141722E-3</v>
      </c>
      <c r="K192">
        <f t="shared" ca="1" si="8"/>
        <v>0.61474180609223517</v>
      </c>
      <c r="M192">
        <f t="shared" ca="1" si="7"/>
        <v>620.45305221769115</v>
      </c>
    </row>
    <row r="193" spans="1:13" ht="22" x14ac:dyDescent="0.3">
      <c r="A193" s="8">
        <v>62</v>
      </c>
      <c r="B193" s="9" t="s">
        <v>534</v>
      </c>
      <c r="C193" s="10">
        <v>702.12</v>
      </c>
      <c r="D193" s="10">
        <v>13720290</v>
      </c>
      <c r="E193" s="10" t="s">
        <v>963</v>
      </c>
      <c r="F193" s="10" t="s">
        <v>1202</v>
      </c>
      <c r="G193" s="10" t="s">
        <v>1203</v>
      </c>
      <c r="I193" s="12">
        <f t="shared" si="6"/>
        <v>2.7799824883326885E-2</v>
      </c>
      <c r="K193">
        <f t="shared" ca="1" si="8"/>
        <v>0.11731555547683174</v>
      </c>
      <c r="M193">
        <f t="shared" ca="1" si="7"/>
        <v>611.35394565478816</v>
      </c>
    </row>
    <row r="194" spans="1:13" ht="22" x14ac:dyDescent="0.3">
      <c r="A194" s="8">
        <v>61</v>
      </c>
      <c r="B194" s="9" t="s">
        <v>537</v>
      </c>
      <c r="C194" s="10">
        <v>682.87</v>
      </c>
      <c r="D194" s="10">
        <v>9274441</v>
      </c>
      <c r="E194" s="10" t="s">
        <v>1204</v>
      </c>
      <c r="F194" s="10" t="s">
        <v>1205</v>
      </c>
      <c r="G194" s="10" t="s">
        <v>1206</v>
      </c>
      <c r="I194" s="12">
        <f t="shared" si="6"/>
        <v>-1.5244840121271253E-2</v>
      </c>
      <c r="K194">
        <f t="shared" ca="1" si="8"/>
        <v>1.1115935341311136</v>
      </c>
      <c r="M194">
        <f t="shared" ca="1" si="7"/>
        <v>609.67314381436881</v>
      </c>
    </row>
    <row r="195" spans="1:13" ht="22" x14ac:dyDescent="0.3">
      <c r="A195" s="8">
        <v>60</v>
      </c>
      <c r="B195" s="11">
        <v>45997</v>
      </c>
      <c r="C195" s="10">
        <v>693.36</v>
      </c>
      <c r="D195" s="10">
        <v>7322730</v>
      </c>
      <c r="E195" s="10" t="s">
        <v>1207</v>
      </c>
      <c r="F195" s="10" t="s">
        <v>1208</v>
      </c>
      <c r="G195" s="10" t="s">
        <v>1209</v>
      </c>
      <c r="I195" s="12">
        <f t="shared" si="6"/>
        <v>-1.1243244427632249E-3</v>
      </c>
      <c r="K195">
        <f t="shared" ca="1" si="8"/>
        <v>-0.40264705974150661</v>
      </c>
      <c r="M195">
        <f t="shared" ca="1" si="7"/>
        <v>593.56233881307242</v>
      </c>
    </row>
    <row r="196" spans="1:13" ht="22" x14ac:dyDescent="0.3">
      <c r="A196" s="8">
        <v>59</v>
      </c>
      <c r="B196" s="11">
        <v>45967</v>
      </c>
      <c r="C196" s="10">
        <v>694.14</v>
      </c>
      <c r="D196" s="10">
        <v>9582508</v>
      </c>
      <c r="E196" s="10" t="s">
        <v>1210</v>
      </c>
      <c r="F196" s="10" t="s">
        <v>1211</v>
      </c>
      <c r="G196" s="10" t="s">
        <v>1212</v>
      </c>
      <c r="I196" s="12">
        <f t="shared" ref="I196:I253" si="9">LN(C196)-LN(C197)</f>
        <v>-1.182937305205467E-2</v>
      </c>
      <c r="K196">
        <f t="shared" ca="1" si="8"/>
        <v>-0.6012768540206459</v>
      </c>
      <c r="M196">
        <f t="shared" ref="M196:M249" ca="1" si="10">M197*EXP((($P$3-$P$4/2)+$P$5*K196))</f>
        <v>599.41520571263447</v>
      </c>
    </row>
    <row r="197" spans="1:13" ht="22" x14ac:dyDescent="0.3">
      <c r="A197" s="8">
        <v>58</v>
      </c>
      <c r="B197" s="11">
        <v>45936</v>
      </c>
      <c r="C197" s="10">
        <v>702.4</v>
      </c>
      <c r="D197" s="10">
        <v>10850150</v>
      </c>
      <c r="E197" s="10" t="s">
        <v>1213</v>
      </c>
      <c r="F197" s="10" t="s">
        <v>1214</v>
      </c>
      <c r="G197" s="10" t="s">
        <v>1215</v>
      </c>
      <c r="I197" s="12">
        <f t="shared" si="9"/>
        <v>1.1944630219737462E-2</v>
      </c>
      <c r="K197">
        <f t="shared" ca="1" si="8"/>
        <v>0.18705624516558456</v>
      </c>
      <c r="M197">
        <f t="shared" ca="1" si="10"/>
        <v>608.23837721623124</v>
      </c>
    </row>
    <row r="198" spans="1:13" ht="22" x14ac:dyDescent="0.3">
      <c r="A198" s="8">
        <v>57</v>
      </c>
      <c r="B198" s="11">
        <v>45906</v>
      </c>
      <c r="C198" s="10">
        <v>694.06</v>
      </c>
      <c r="D198" s="10">
        <v>12773220</v>
      </c>
      <c r="E198" s="10" t="s">
        <v>1216</v>
      </c>
      <c r="F198" s="10" t="s">
        <v>1217</v>
      </c>
      <c r="G198" s="10" t="s">
        <v>1218</v>
      </c>
      <c r="I198" s="12">
        <f t="shared" si="9"/>
        <v>-5.2451315491044426E-3</v>
      </c>
      <c r="K198">
        <f t="shared" ref="K198:K254" ca="1" si="11">_xlfn.NORM.S.INV(RAND())</f>
        <v>-0.16754272856576852</v>
      </c>
      <c r="M198">
        <f t="shared" ca="1" si="10"/>
        <v>605.54472699643429</v>
      </c>
    </row>
    <row r="199" spans="1:13" ht="22" x14ac:dyDescent="0.3">
      <c r="A199" s="8">
        <v>56</v>
      </c>
      <c r="B199" s="11">
        <v>45814</v>
      </c>
      <c r="C199" s="10">
        <v>697.71</v>
      </c>
      <c r="D199" s="10">
        <v>11727960</v>
      </c>
      <c r="E199" s="10" t="s">
        <v>1219</v>
      </c>
      <c r="F199" s="10" t="s">
        <v>1220</v>
      </c>
      <c r="G199" s="10" t="s">
        <v>1221</v>
      </c>
      <c r="I199" s="12">
        <f t="shared" si="9"/>
        <v>1.8939603841269914E-2</v>
      </c>
      <c r="K199">
        <f t="shared" ca="1" si="11"/>
        <v>0.18165024973561364</v>
      </c>
      <c r="M199">
        <f t="shared" ca="1" si="10"/>
        <v>608.05126383230254</v>
      </c>
    </row>
    <row r="200" spans="1:13" ht="22" x14ac:dyDescent="0.3">
      <c r="A200" s="8">
        <v>55</v>
      </c>
      <c r="B200" s="11">
        <v>45783</v>
      </c>
      <c r="C200" s="10">
        <v>684.62</v>
      </c>
      <c r="D200" s="10">
        <v>13120340</v>
      </c>
      <c r="E200" s="10" t="s">
        <v>1222</v>
      </c>
      <c r="F200" s="10" t="s">
        <v>1223</v>
      </c>
      <c r="G200" s="10" t="s">
        <v>1224</v>
      </c>
      <c r="I200" s="12">
        <f t="shared" si="9"/>
        <v>-4.8522210648211939E-3</v>
      </c>
      <c r="K200">
        <f t="shared" ca="1" si="11"/>
        <v>1.223740633143316</v>
      </c>
      <c r="M200">
        <f t="shared" ca="1" si="10"/>
        <v>605.43753197525484</v>
      </c>
    </row>
    <row r="201" spans="1:13" ht="22" x14ac:dyDescent="0.3">
      <c r="A201" s="8">
        <v>54</v>
      </c>
      <c r="B201" s="11">
        <v>45753</v>
      </c>
      <c r="C201" s="10">
        <v>687.95</v>
      </c>
      <c r="D201" s="10">
        <v>14031930</v>
      </c>
      <c r="E201" s="10" t="s">
        <v>1225</v>
      </c>
      <c r="F201" s="10" t="s">
        <v>1226</v>
      </c>
      <c r="G201" s="10" t="s">
        <v>1227</v>
      </c>
      <c r="I201" s="12">
        <f t="shared" si="9"/>
        <v>3.115102780542145E-2</v>
      </c>
      <c r="K201">
        <f t="shared" ca="1" si="11"/>
        <v>0.84175995032182915</v>
      </c>
      <c r="M201">
        <f t="shared" ca="1" si="10"/>
        <v>587.84335704900161</v>
      </c>
    </row>
    <row r="202" spans="1:13" ht="22" x14ac:dyDescent="0.3">
      <c r="A202" s="8">
        <v>53</v>
      </c>
      <c r="B202" s="11">
        <v>45722</v>
      </c>
      <c r="C202" s="10">
        <v>666.85</v>
      </c>
      <c r="D202" s="10">
        <v>11585030</v>
      </c>
      <c r="E202" s="10" t="s">
        <v>1228</v>
      </c>
      <c r="F202" s="10" t="s">
        <v>1229</v>
      </c>
      <c r="G202" s="10" t="s">
        <v>1230</v>
      </c>
      <c r="I202" s="12">
        <f t="shared" si="9"/>
        <v>-6.0549615004381607E-3</v>
      </c>
      <c r="K202">
        <f t="shared" ca="1" si="11"/>
        <v>-1.3323370735782862</v>
      </c>
      <c r="M202">
        <f t="shared" ca="1" si="10"/>
        <v>576.05350697415906</v>
      </c>
    </row>
    <row r="203" spans="1:13" ht="22" x14ac:dyDescent="0.3">
      <c r="A203" s="8">
        <v>52</v>
      </c>
      <c r="B203" s="11">
        <v>45694</v>
      </c>
      <c r="C203" s="10">
        <v>670.9</v>
      </c>
      <c r="D203" s="10">
        <v>15766260</v>
      </c>
      <c r="E203" s="10" t="s">
        <v>1231</v>
      </c>
      <c r="F203" s="10" t="s">
        <v>1232</v>
      </c>
      <c r="G203" s="10" t="s">
        <v>1233</v>
      </c>
      <c r="I203" s="12">
        <f t="shared" si="9"/>
        <v>3.5516745129853255E-2</v>
      </c>
      <c r="K203">
        <f t="shared" ca="1" si="11"/>
        <v>-0.71113372452745982</v>
      </c>
      <c r="M203">
        <f t="shared" ca="1" si="10"/>
        <v>594.95135365081103</v>
      </c>
    </row>
    <row r="204" spans="1:13" ht="22" x14ac:dyDescent="0.3">
      <c r="A204" s="8">
        <v>51</v>
      </c>
      <c r="B204" s="9" t="s">
        <v>560</v>
      </c>
      <c r="C204" s="10">
        <v>647.49</v>
      </c>
      <c r="D204" s="10">
        <v>16240950</v>
      </c>
      <c r="E204" s="10" t="s">
        <v>1234</v>
      </c>
      <c r="F204" s="10" t="s">
        <v>1235</v>
      </c>
      <c r="G204" s="10" t="s">
        <v>1236</v>
      </c>
      <c r="I204" s="12">
        <f t="shared" si="9"/>
        <v>3.7755162678436704E-3</v>
      </c>
      <c r="K204">
        <f t="shared" ca="1" si="11"/>
        <v>0.69712137473596214</v>
      </c>
      <c r="M204">
        <f t="shared" ca="1" si="10"/>
        <v>605.31366979948064</v>
      </c>
    </row>
    <row r="205" spans="1:13" ht="22" x14ac:dyDescent="0.3">
      <c r="A205" s="8">
        <v>50</v>
      </c>
      <c r="B205" s="9" t="s">
        <v>562</v>
      </c>
      <c r="C205" s="10">
        <v>645.04999999999995</v>
      </c>
      <c r="D205" s="10">
        <v>8883436</v>
      </c>
      <c r="E205" s="10" t="s">
        <v>1237</v>
      </c>
      <c r="F205" s="10" t="s">
        <v>1238</v>
      </c>
      <c r="G205" s="10" t="s">
        <v>1239</v>
      </c>
      <c r="I205" s="12">
        <f t="shared" si="9"/>
        <v>2.2814937377502176E-3</v>
      </c>
      <c r="K205">
        <f t="shared" ca="1" si="11"/>
        <v>0.82610770873664086</v>
      </c>
      <c r="M205">
        <f t="shared" ca="1" si="10"/>
        <v>595.25039446771825</v>
      </c>
    </row>
    <row r="206" spans="1:13" ht="22" x14ac:dyDescent="0.3">
      <c r="A206" s="8">
        <v>49</v>
      </c>
      <c r="B206" s="9" t="s">
        <v>565</v>
      </c>
      <c r="C206" s="10">
        <v>643.58000000000004</v>
      </c>
      <c r="D206" s="10">
        <v>9042874</v>
      </c>
      <c r="E206" s="10" t="s">
        <v>713</v>
      </c>
      <c r="F206" s="10" t="s">
        <v>1240</v>
      </c>
      <c r="G206" s="10" t="s">
        <v>1241</v>
      </c>
      <c r="I206" s="12">
        <f t="shared" si="9"/>
        <v>1.9597175569661118E-3</v>
      </c>
      <c r="K206">
        <f t="shared" ca="1" si="11"/>
        <v>0.88179216221996315</v>
      </c>
      <c r="M206">
        <f t="shared" ca="1" si="10"/>
        <v>583.53266802140752</v>
      </c>
    </row>
    <row r="207" spans="1:13" ht="22" x14ac:dyDescent="0.3">
      <c r="A207" s="8">
        <v>48</v>
      </c>
      <c r="B207" s="9" t="s">
        <v>568</v>
      </c>
      <c r="C207" s="10">
        <v>642.32000000000005</v>
      </c>
      <c r="D207" s="10">
        <v>9508367</v>
      </c>
      <c r="E207" s="10" t="s">
        <v>1242</v>
      </c>
      <c r="F207" s="10" t="s">
        <v>1243</v>
      </c>
      <c r="G207" s="10" t="s">
        <v>1244</v>
      </c>
      <c r="I207" s="12">
        <f t="shared" si="9"/>
        <v>2.4044392041961515E-2</v>
      </c>
      <c r="K207">
        <f t="shared" ca="1" si="11"/>
        <v>-1.5983501436527137</v>
      </c>
      <c r="M207">
        <f t="shared" ca="1" si="10"/>
        <v>571.27634473466924</v>
      </c>
    </row>
    <row r="208" spans="1:13" ht="22" x14ac:dyDescent="0.3">
      <c r="A208" s="8">
        <v>47</v>
      </c>
      <c r="B208" s="9" t="s">
        <v>570</v>
      </c>
      <c r="C208" s="10">
        <v>627.05999999999995</v>
      </c>
      <c r="D208" s="10">
        <v>8454067</v>
      </c>
      <c r="E208" s="10" t="s">
        <v>872</v>
      </c>
      <c r="F208" s="10" t="s">
        <v>1245</v>
      </c>
      <c r="G208" s="10" t="s">
        <v>649</v>
      </c>
      <c r="I208" s="12">
        <f t="shared" si="9"/>
        <v>-1.5052158549650585E-2</v>
      </c>
      <c r="K208">
        <f t="shared" ca="1" si="11"/>
        <v>0.47321228700599755</v>
      </c>
      <c r="M208">
        <f t="shared" ca="1" si="10"/>
        <v>593.82258881077132</v>
      </c>
    </row>
    <row r="209" spans="1:13" ht="22" x14ac:dyDescent="0.3">
      <c r="A209" s="8">
        <v>46</v>
      </c>
      <c r="B209" s="9" t="s">
        <v>571</v>
      </c>
      <c r="C209" s="10">
        <v>636.57000000000005</v>
      </c>
      <c r="D209" s="10">
        <v>8228443</v>
      </c>
      <c r="E209" s="10" t="s">
        <v>1246</v>
      </c>
      <c r="F209" s="10" t="s">
        <v>1247</v>
      </c>
      <c r="G209" s="10" t="s">
        <v>1248</v>
      </c>
      <c r="I209" s="12">
        <f t="shared" si="9"/>
        <v>1.6822977546091522E-3</v>
      </c>
      <c r="K209">
        <f t="shared" ca="1" si="11"/>
        <v>-0.90712628365132286</v>
      </c>
      <c r="M209">
        <f t="shared" ca="1" si="10"/>
        <v>587.11865289714649</v>
      </c>
    </row>
    <row r="210" spans="1:13" ht="22" x14ac:dyDescent="0.3">
      <c r="A210" s="8">
        <v>45</v>
      </c>
      <c r="B210" s="9" t="s">
        <v>572</v>
      </c>
      <c r="C210" s="10">
        <v>635.5</v>
      </c>
      <c r="D210" s="10">
        <v>11464570</v>
      </c>
      <c r="E210" s="10" t="s">
        <v>1249</v>
      </c>
      <c r="F210" s="10" t="s">
        <v>1250</v>
      </c>
      <c r="G210" s="10" t="s">
        <v>1251</v>
      </c>
      <c r="I210" s="12">
        <f t="shared" si="9"/>
        <v>-2.5145384929334824E-3</v>
      </c>
      <c r="K210">
        <f t="shared" ca="1" si="11"/>
        <v>1.1446871231688414</v>
      </c>
      <c r="M210">
        <f t="shared" ca="1" si="10"/>
        <v>600.1804841566684</v>
      </c>
    </row>
    <row r="211" spans="1:13" ht="22" x14ac:dyDescent="0.3">
      <c r="A211" s="8">
        <v>44</v>
      </c>
      <c r="B211" s="9" t="s">
        <v>575</v>
      </c>
      <c r="C211" s="10">
        <v>637.1</v>
      </c>
      <c r="D211" s="10">
        <v>6743473</v>
      </c>
      <c r="E211" s="10" t="s">
        <v>1252</v>
      </c>
      <c r="F211" s="10" t="s">
        <v>1253</v>
      </c>
      <c r="G211" s="10" t="s">
        <v>1254</v>
      </c>
      <c r="I211" s="12">
        <f t="shared" si="9"/>
        <v>-5.21319662431452E-3</v>
      </c>
      <c r="K211">
        <f t="shared" ca="1" si="11"/>
        <v>-0.81945206056836617</v>
      </c>
      <c r="M211">
        <f t="shared" ca="1" si="10"/>
        <v>583.85340972239953</v>
      </c>
    </row>
    <row r="212" spans="1:13" ht="22" x14ac:dyDescent="0.3">
      <c r="A212" s="8">
        <v>43</v>
      </c>
      <c r="B212" s="9" t="s">
        <v>576</v>
      </c>
      <c r="C212" s="10">
        <v>640.42999999999995</v>
      </c>
      <c r="D212" s="10">
        <v>9592374</v>
      </c>
      <c r="E212" s="10" t="s">
        <v>1255</v>
      </c>
      <c r="F212" s="10" t="s">
        <v>1256</v>
      </c>
      <c r="G212" s="10" t="s">
        <v>1257</v>
      </c>
      <c r="I212" s="12">
        <f t="shared" si="9"/>
        <v>1.4054045636235912E-4</v>
      </c>
      <c r="K212">
        <f t="shared" ca="1" si="11"/>
        <v>-0.5323423579504214</v>
      </c>
      <c r="M212">
        <f t="shared" ca="1" si="10"/>
        <v>595.57938936068172</v>
      </c>
    </row>
    <row r="213" spans="1:13" ht="22" x14ac:dyDescent="0.3">
      <c r="A213" s="8">
        <v>42</v>
      </c>
      <c r="B213" s="9" t="s">
        <v>577</v>
      </c>
      <c r="C213" s="10">
        <v>640.34</v>
      </c>
      <c r="D213" s="10">
        <v>18518970</v>
      </c>
      <c r="E213" s="10" t="s">
        <v>1258</v>
      </c>
      <c r="F213" s="10" t="s">
        <v>1259</v>
      </c>
      <c r="G213" s="10" t="s">
        <v>1260</v>
      </c>
      <c r="I213" s="12">
        <f t="shared" si="9"/>
        <v>-5.5130880476346178E-3</v>
      </c>
      <c r="K213">
        <f t="shared" ca="1" si="11"/>
        <v>0.4637539573633655</v>
      </c>
      <c r="M213">
        <f t="shared" ca="1" si="10"/>
        <v>603.34017781178102</v>
      </c>
    </row>
    <row r="214" spans="1:13" ht="22" x14ac:dyDescent="0.3">
      <c r="A214" s="8">
        <v>41</v>
      </c>
      <c r="B214" s="9" t="s">
        <v>578</v>
      </c>
      <c r="C214" s="10">
        <v>643.88</v>
      </c>
      <c r="D214" s="10">
        <v>14341840</v>
      </c>
      <c r="E214" s="10" t="s">
        <v>1261</v>
      </c>
      <c r="F214" s="10" t="s">
        <v>1262</v>
      </c>
      <c r="G214" s="10" t="s">
        <v>1263</v>
      </c>
      <c r="I214" s="12">
        <f t="shared" si="9"/>
        <v>-2.3757294252478189E-2</v>
      </c>
      <c r="K214">
        <f t="shared" ca="1" si="11"/>
        <v>2.397705924436953</v>
      </c>
      <c r="M214">
        <f t="shared" ca="1" si="10"/>
        <v>596.66515718237349</v>
      </c>
    </row>
    <row r="215" spans="1:13" ht="22" x14ac:dyDescent="0.3">
      <c r="A215" s="8">
        <v>40</v>
      </c>
      <c r="B215" s="9" t="s">
        <v>581</v>
      </c>
      <c r="C215" s="10">
        <v>659.36</v>
      </c>
      <c r="D215" s="10">
        <v>12348180</v>
      </c>
      <c r="E215" s="10" t="s">
        <v>1264</v>
      </c>
      <c r="F215" s="10" t="s">
        <v>1265</v>
      </c>
      <c r="G215" s="10" t="s">
        <v>1266</v>
      </c>
      <c r="I215" s="12">
        <f t="shared" si="9"/>
        <v>5.0631479847638161E-3</v>
      </c>
      <c r="K215">
        <f t="shared" ca="1" si="11"/>
        <v>-0.15829446249201126</v>
      </c>
      <c r="M215">
        <f t="shared" ca="1" si="10"/>
        <v>563.12140896434983</v>
      </c>
    </row>
    <row r="216" spans="1:13" ht="22" x14ac:dyDescent="0.3">
      <c r="A216" s="8">
        <v>39</v>
      </c>
      <c r="B216" s="9" t="s">
        <v>583</v>
      </c>
      <c r="C216" s="10">
        <v>656.03</v>
      </c>
      <c r="D216" s="10">
        <v>18570820</v>
      </c>
      <c r="E216" s="10" t="s">
        <v>1267</v>
      </c>
      <c r="F216" s="10" t="s">
        <v>1268</v>
      </c>
      <c r="G216" s="10" t="s">
        <v>1269</v>
      </c>
      <c r="I216" s="12">
        <f t="shared" si="9"/>
        <v>2.562936509411351E-2</v>
      </c>
      <c r="K216">
        <f t="shared" ca="1" si="11"/>
        <v>-0.96544418240558738</v>
      </c>
      <c r="M216">
        <f t="shared" ca="1" si="10"/>
        <v>565.3259821299207</v>
      </c>
    </row>
    <row r="217" spans="1:13" ht="22" x14ac:dyDescent="0.3">
      <c r="A217" s="8">
        <v>38</v>
      </c>
      <c r="B217" s="11">
        <v>45996</v>
      </c>
      <c r="C217" s="10">
        <v>639.42999999999995</v>
      </c>
      <c r="D217" s="10">
        <v>21965090</v>
      </c>
      <c r="E217" s="10" t="s">
        <v>1270</v>
      </c>
      <c r="F217" s="10" t="s">
        <v>1271</v>
      </c>
      <c r="G217" s="10" t="s">
        <v>1272</v>
      </c>
      <c r="I217" s="12">
        <f t="shared" si="9"/>
        <v>7.6243159281903061E-2</v>
      </c>
      <c r="K217">
        <f t="shared" ca="1" si="11"/>
        <v>0.41168890426405619</v>
      </c>
      <c r="M217">
        <f t="shared" ca="1" si="10"/>
        <v>578.71800046075668</v>
      </c>
    </row>
    <row r="218" spans="1:13" ht="22" x14ac:dyDescent="0.3">
      <c r="A218" s="8">
        <v>37</v>
      </c>
      <c r="B218" s="11">
        <v>45905</v>
      </c>
      <c r="C218" s="10">
        <v>592.49</v>
      </c>
      <c r="D218" s="10">
        <v>10427290</v>
      </c>
      <c r="E218" s="10" t="s">
        <v>1273</v>
      </c>
      <c r="F218" s="10" t="s">
        <v>1274</v>
      </c>
      <c r="G218" s="10" t="s">
        <v>1275</v>
      </c>
      <c r="I218" s="12">
        <f t="shared" si="9"/>
        <v>-9.273480989113736E-3</v>
      </c>
      <c r="K218">
        <f t="shared" ca="1" si="11"/>
        <v>9.0656357046331168E-2</v>
      </c>
      <c r="M218">
        <f t="shared" ca="1" si="10"/>
        <v>573.0359263006568</v>
      </c>
    </row>
    <row r="219" spans="1:13" ht="22" x14ac:dyDescent="0.3">
      <c r="A219" s="8">
        <v>36</v>
      </c>
      <c r="B219" s="11">
        <v>45874</v>
      </c>
      <c r="C219" s="10">
        <v>598.01</v>
      </c>
      <c r="D219" s="10">
        <v>14622810</v>
      </c>
      <c r="E219" s="10" t="s">
        <v>1276</v>
      </c>
      <c r="F219" s="10" t="s">
        <v>1277</v>
      </c>
      <c r="G219" s="10" t="s">
        <v>1278</v>
      </c>
      <c r="I219" s="12">
        <f t="shared" si="9"/>
        <v>2.0086714374984993E-3</v>
      </c>
      <c r="K219">
        <f t="shared" ca="1" si="11"/>
        <v>0.83005542628136664</v>
      </c>
      <c r="M219">
        <f t="shared" ca="1" si="10"/>
        <v>571.82875123120209</v>
      </c>
    </row>
    <row r="220" spans="1:13" ht="22" x14ac:dyDescent="0.3">
      <c r="A220" s="8">
        <v>35</v>
      </c>
      <c r="B220" s="11">
        <v>45843</v>
      </c>
      <c r="C220" s="10">
        <v>596.80999999999995</v>
      </c>
      <c r="D220" s="10">
        <v>13160980</v>
      </c>
      <c r="E220" s="10" t="s">
        <v>1279</v>
      </c>
      <c r="F220" s="10" t="s">
        <v>1280</v>
      </c>
      <c r="G220" s="10" t="s">
        <v>1281</v>
      </c>
      <c r="I220" s="12">
        <f t="shared" si="9"/>
        <v>1.6046015324781671E-2</v>
      </c>
      <c r="K220">
        <f t="shared" ca="1" si="11"/>
        <v>-0.14114644686788874</v>
      </c>
      <c r="M220">
        <f t="shared" ca="1" si="10"/>
        <v>560.51861242997711</v>
      </c>
    </row>
    <row r="221" spans="1:13" ht="22" x14ac:dyDescent="0.3">
      <c r="A221" s="8">
        <v>34</v>
      </c>
      <c r="B221" s="11">
        <v>45813</v>
      </c>
      <c r="C221" s="10">
        <v>587.30999999999995</v>
      </c>
      <c r="D221" s="10">
        <v>10600650</v>
      </c>
      <c r="E221" s="10" t="s">
        <v>1282</v>
      </c>
      <c r="F221" s="10" t="s">
        <v>1283</v>
      </c>
      <c r="G221" s="10" t="s">
        <v>1284</v>
      </c>
      <c r="I221" s="12">
        <f t="shared" si="9"/>
        <v>-2.0159458353147031E-2</v>
      </c>
      <c r="K221">
        <f t="shared" ca="1" si="11"/>
        <v>-0.50434458802232462</v>
      </c>
      <c r="M221">
        <f t="shared" ca="1" si="10"/>
        <v>562.47985727047671</v>
      </c>
    </row>
    <row r="222" spans="1:13" ht="22" x14ac:dyDescent="0.3">
      <c r="A222" s="8">
        <v>33</v>
      </c>
      <c r="B222" s="11">
        <v>45782</v>
      </c>
      <c r="C222" s="10">
        <v>599.27</v>
      </c>
      <c r="D222" s="10">
        <v>13887720</v>
      </c>
      <c r="E222" s="10" t="s">
        <v>1285</v>
      </c>
      <c r="F222" s="10" t="s">
        <v>1286</v>
      </c>
      <c r="G222" s="10" t="s">
        <v>1287</v>
      </c>
      <c r="I222" s="12">
        <f t="shared" si="9"/>
        <v>3.7616341407247234E-3</v>
      </c>
      <c r="K222">
        <f t="shared" ca="1" si="11"/>
        <v>-0.65935346633007064</v>
      </c>
      <c r="M222">
        <f t="shared" ca="1" si="10"/>
        <v>569.42393922226449</v>
      </c>
    </row>
    <row r="223" spans="1:13" ht="22" x14ac:dyDescent="0.3">
      <c r="A223" s="8">
        <v>32</v>
      </c>
      <c r="B223" s="11">
        <v>45693</v>
      </c>
      <c r="C223" s="10">
        <v>597.02</v>
      </c>
      <c r="D223" s="10">
        <v>24739260</v>
      </c>
      <c r="E223" s="10" t="s">
        <v>1288</v>
      </c>
      <c r="F223" s="10" t="s">
        <v>1289</v>
      </c>
      <c r="G223" s="10" t="s">
        <v>1290</v>
      </c>
      <c r="I223" s="12">
        <f t="shared" si="9"/>
        <v>4.2444556798832522E-2</v>
      </c>
      <c r="K223">
        <f t="shared" ca="1" si="11"/>
        <v>2.1154816858508885</v>
      </c>
      <c r="M223">
        <f t="shared" ca="1" si="10"/>
        <v>578.61715530052504</v>
      </c>
    </row>
    <row r="224" spans="1:13" ht="22" x14ac:dyDescent="0.3">
      <c r="A224" s="8">
        <v>31</v>
      </c>
      <c r="B224" s="11">
        <v>45662</v>
      </c>
      <c r="C224" s="10">
        <v>572.21</v>
      </c>
      <c r="D224" s="10">
        <v>31159030</v>
      </c>
      <c r="E224" s="10" t="s">
        <v>1291</v>
      </c>
      <c r="F224" s="10" t="s">
        <v>1292</v>
      </c>
      <c r="G224" s="10" t="s">
        <v>1293</v>
      </c>
      <c r="I224" s="12">
        <f t="shared" si="9"/>
        <v>4.1407615360619765E-2</v>
      </c>
      <c r="K224">
        <f t="shared" ca="1" si="11"/>
        <v>-1.6346323788776231</v>
      </c>
      <c r="M224">
        <f t="shared" ca="1" si="10"/>
        <v>549.82520648217917</v>
      </c>
    </row>
    <row r="225" spans="1:13" ht="22" x14ac:dyDescent="0.3">
      <c r="A225" s="8">
        <v>30</v>
      </c>
      <c r="B225" s="9" t="s">
        <v>596</v>
      </c>
      <c r="C225" s="10">
        <v>549</v>
      </c>
      <c r="D225" s="10">
        <v>29243970</v>
      </c>
      <c r="E225" s="10" t="s">
        <v>1294</v>
      </c>
      <c r="F225" s="10" t="s">
        <v>1295</v>
      </c>
      <c r="G225" s="10" t="s">
        <v>1296</v>
      </c>
      <c r="I225" s="12">
        <f t="shared" si="9"/>
        <v>-9.8601538356222207E-3</v>
      </c>
      <c r="K225">
        <f t="shared" ca="1" si="11"/>
        <v>1.0519002621391906</v>
      </c>
      <c r="M225">
        <f t="shared" ca="1" si="10"/>
        <v>572.02617956363429</v>
      </c>
    </row>
    <row r="226" spans="1:13" ht="22" x14ac:dyDescent="0.3">
      <c r="A226" s="8">
        <v>29</v>
      </c>
      <c r="B226" s="9" t="s">
        <v>597</v>
      </c>
      <c r="C226" s="10">
        <v>554.44000000000005</v>
      </c>
      <c r="D226" s="10">
        <v>11835040</v>
      </c>
      <c r="E226" s="10" t="s">
        <v>1297</v>
      </c>
      <c r="F226" s="10" t="s">
        <v>1298</v>
      </c>
      <c r="G226" s="10" t="s">
        <v>1299</v>
      </c>
      <c r="I226" s="12">
        <f t="shared" si="9"/>
        <v>8.5131561621265561E-3</v>
      </c>
      <c r="K226">
        <f t="shared" ca="1" si="11"/>
        <v>1.2708991854041829</v>
      </c>
      <c r="M226">
        <f t="shared" ca="1" si="10"/>
        <v>557.71415402640298</v>
      </c>
    </row>
    <row r="227" spans="1:13" ht="22" x14ac:dyDescent="0.3">
      <c r="A227" s="8">
        <v>28</v>
      </c>
      <c r="B227" s="9" t="s">
        <v>599</v>
      </c>
      <c r="C227" s="10">
        <v>549.74</v>
      </c>
      <c r="D227" s="10">
        <v>15179000</v>
      </c>
      <c r="E227" s="10" t="s">
        <v>1300</v>
      </c>
      <c r="F227" s="10" t="s">
        <v>1301</v>
      </c>
      <c r="G227" s="10" t="s">
        <v>1302</v>
      </c>
      <c r="I227" s="12">
        <f t="shared" si="9"/>
        <v>4.5031570796512099E-3</v>
      </c>
      <c r="K227">
        <f t="shared" ca="1" si="11"/>
        <v>-1.3779275402534892</v>
      </c>
      <c r="M227">
        <f t="shared" ca="1" si="10"/>
        <v>540.89006726936839</v>
      </c>
    </row>
    <row r="228" spans="1:13" ht="22" x14ac:dyDescent="0.3">
      <c r="A228" s="8">
        <v>27</v>
      </c>
      <c r="B228" s="9" t="s">
        <v>600</v>
      </c>
      <c r="C228" s="10">
        <v>547.27</v>
      </c>
      <c r="D228" s="10">
        <v>17098920</v>
      </c>
      <c r="E228" s="10" t="s">
        <v>1303</v>
      </c>
      <c r="F228" s="10" t="s">
        <v>1304</v>
      </c>
      <c r="G228" s="10" t="s">
        <v>1305</v>
      </c>
      <c r="I228" s="12">
        <f t="shared" si="9"/>
        <v>2.6139471639186063E-2</v>
      </c>
      <c r="K228">
        <f t="shared" ca="1" si="11"/>
        <v>0.57031890037408906</v>
      </c>
      <c r="M228">
        <f t="shared" ca="1" si="10"/>
        <v>559.25015870730238</v>
      </c>
    </row>
    <row r="229" spans="1:13" ht="22" x14ac:dyDescent="0.3">
      <c r="A229" s="8">
        <v>26</v>
      </c>
      <c r="B229" s="9" t="s">
        <v>601</v>
      </c>
      <c r="C229" s="10">
        <v>533.15</v>
      </c>
      <c r="D229" s="10">
        <v>13910010</v>
      </c>
      <c r="E229" s="10" t="s">
        <v>1306</v>
      </c>
      <c r="F229" s="10" t="s">
        <v>1307</v>
      </c>
      <c r="G229" s="10" t="s">
        <v>1308</v>
      </c>
      <c r="I229" s="12">
        <f t="shared" si="9"/>
        <v>2.4454902873137563E-2</v>
      </c>
      <c r="K229">
        <f t="shared" ca="1" si="11"/>
        <v>-0.94769329918657463</v>
      </c>
      <c r="M229">
        <f t="shared" ca="1" si="10"/>
        <v>551.64048817719174</v>
      </c>
    </row>
    <row r="230" spans="1:13" ht="22" x14ac:dyDescent="0.3">
      <c r="A230" s="8">
        <v>25</v>
      </c>
      <c r="B230" s="9" t="s">
        <v>602</v>
      </c>
      <c r="C230" s="10">
        <v>520.27</v>
      </c>
      <c r="D230" s="10">
        <v>18173910</v>
      </c>
      <c r="E230" s="10" t="s">
        <v>1309</v>
      </c>
      <c r="F230" s="10" t="s">
        <v>1310</v>
      </c>
      <c r="G230" s="10" t="s">
        <v>1311</v>
      </c>
      <c r="I230" s="12">
        <f t="shared" si="9"/>
        <v>3.9179965910345338E-2</v>
      </c>
      <c r="K230">
        <f t="shared" ca="1" si="11"/>
        <v>-0.26230042136362264</v>
      </c>
      <c r="M230">
        <f t="shared" ca="1" si="10"/>
        <v>564.46612161290693</v>
      </c>
    </row>
    <row r="231" spans="1:13" ht="22" x14ac:dyDescent="0.3">
      <c r="A231" s="8">
        <v>24</v>
      </c>
      <c r="B231" s="9" t="s">
        <v>603</v>
      </c>
      <c r="C231" s="10">
        <v>500.28</v>
      </c>
      <c r="D231" s="10">
        <v>17399410</v>
      </c>
      <c r="E231" s="10" t="s">
        <v>1312</v>
      </c>
      <c r="F231" s="10" t="s">
        <v>1313</v>
      </c>
      <c r="G231" s="10" t="s">
        <v>1314</v>
      </c>
      <c r="I231" s="12">
        <f t="shared" si="9"/>
        <v>3.1720327508137913E-2</v>
      </c>
      <c r="K231">
        <f t="shared" ca="1" si="11"/>
        <v>-7.6088278695772935E-2</v>
      </c>
      <c r="M231">
        <f t="shared" ca="1" si="10"/>
        <v>568.10203381129872</v>
      </c>
    </row>
    <row r="232" spans="1:13" ht="22" x14ac:dyDescent="0.3">
      <c r="A232" s="8">
        <v>23</v>
      </c>
      <c r="B232" s="9" t="s">
        <v>604</v>
      </c>
      <c r="C232" s="10">
        <v>484.66</v>
      </c>
      <c r="D232" s="10">
        <v>16165980</v>
      </c>
      <c r="E232" s="10" t="s">
        <v>1315</v>
      </c>
      <c r="F232" s="10" t="s">
        <v>1316</v>
      </c>
      <c r="G232" s="10" t="s">
        <v>1317</v>
      </c>
      <c r="I232" s="12">
        <f t="shared" si="9"/>
        <v>-3.4116112075256666E-2</v>
      </c>
      <c r="K232">
        <f t="shared" ca="1" si="11"/>
        <v>-1.5800771780349947</v>
      </c>
      <c r="M232">
        <f t="shared" ca="1" si="10"/>
        <v>569.19422731566362</v>
      </c>
    </row>
    <row r="233" spans="1:13" ht="22" x14ac:dyDescent="0.3">
      <c r="A233" s="8">
        <v>22</v>
      </c>
      <c r="B233" s="9" t="s">
        <v>605</v>
      </c>
      <c r="C233" s="10">
        <v>501.48</v>
      </c>
      <c r="D233" s="10">
        <v>14593510</v>
      </c>
      <c r="E233" s="10" t="s">
        <v>1318</v>
      </c>
      <c r="F233" s="10" t="s">
        <v>1319</v>
      </c>
      <c r="G233" s="10" t="s">
        <v>1320</v>
      </c>
      <c r="I233" s="12">
        <f t="shared" si="9"/>
        <v>-1.6537327312668992E-3</v>
      </c>
      <c r="K233">
        <f t="shared" ca="1" si="11"/>
        <v>-1.468305405389617</v>
      </c>
      <c r="M233">
        <f t="shared" ca="1" si="10"/>
        <v>591.39708903946166</v>
      </c>
    </row>
    <row r="234" spans="1:13" ht="22" x14ac:dyDescent="0.3">
      <c r="A234" s="8">
        <v>21</v>
      </c>
      <c r="B234" s="9" t="s">
        <v>606</v>
      </c>
      <c r="C234" s="10">
        <v>502.31</v>
      </c>
      <c r="D234" s="10">
        <v>18735080</v>
      </c>
      <c r="E234" s="10" t="s">
        <v>1321</v>
      </c>
      <c r="F234" s="10" t="s">
        <v>1322</v>
      </c>
      <c r="G234" s="10" t="s">
        <v>1323</v>
      </c>
      <c r="I234" s="12">
        <f t="shared" si="9"/>
        <v>-3.7530165637192248E-2</v>
      </c>
      <c r="K234">
        <f t="shared" ca="1" si="11"/>
        <v>-0.16280116838251155</v>
      </c>
      <c r="M234">
        <f t="shared" ca="1" si="10"/>
        <v>612.80855469216851</v>
      </c>
    </row>
    <row r="235" spans="1:13" ht="22" x14ac:dyDescent="0.3">
      <c r="A235" s="8">
        <v>20</v>
      </c>
      <c r="B235" s="9" t="s">
        <v>607</v>
      </c>
      <c r="C235" s="10">
        <v>521.52</v>
      </c>
      <c r="D235" s="10">
        <v>15558660</v>
      </c>
      <c r="E235" s="10" t="s">
        <v>1324</v>
      </c>
      <c r="F235" s="10" t="s">
        <v>1325</v>
      </c>
      <c r="G235" s="10" t="s">
        <v>1308</v>
      </c>
      <c r="I235" s="12">
        <f t="shared" si="9"/>
        <v>-1.8917943106822932E-2</v>
      </c>
      <c r="K235">
        <f t="shared" ca="1" si="11"/>
        <v>0.98178941617454241</v>
      </c>
      <c r="M235">
        <f t="shared" ca="1" si="10"/>
        <v>615.2746539842434</v>
      </c>
    </row>
    <row r="236" spans="1:13" ht="22" x14ac:dyDescent="0.3">
      <c r="A236" s="8">
        <v>19</v>
      </c>
      <c r="B236" s="9" t="s">
        <v>609</v>
      </c>
      <c r="C236" s="10">
        <v>531.48</v>
      </c>
      <c r="D236" s="10">
        <v>14130930</v>
      </c>
      <c r="E236" s="10" t="s">
        <v>1326</v>
      </c>
      <c r="F236" s="10" t="s">
        <v>1327</v>
      </c>
      <c r="G236" s="10" t="s">
        <v>1328</v>
      </c>
      <c r="I236" s="12">
        <f t="shared" si="9"/>
        <v>-2.2492925393018837E-2</v>
      </c>
      <c r="K236">
        <f t="shared" ca="1" si="11"/>
        <v>-1.0105138366051594</v>
      </c>
      <c r="M236">
        <f t="shared" ca="1" si="10"/>
        <v>600.89779187505212</v>
      </c>
    </row>
    <row r="237" spans="1:13" ht="22" x14ac:dyDescent="0.3">
      <c r="A237" s="8">
        <v>18</v>
      </c>
      <c r="B237" s="11">
        <v>45965</v>
      </c>
      <c r="C237" s="10">
        <v>543.57000000000005</v>
      </c>
      <c r="D237" s="10">
        <v>17642330</v>
      </c>
      <c r="E237" s="10" t="s">
        <v>1329</v>
      </c>
      <c r="F237" s="10" t="s">
        <v>1330</v>
      </c>
      <c r="G237" s="10" t="s">
        <v>1331</v>
      </c>
      <c r="I237" s="12">
        <f t="shared" si="9"/>
        <v>-4.9914771573638106E-3</v>
      </c>
      <c r="K237">
        <f t="shared" ca="1" si="11"/>
        <v>-0.52600113592828746</v>
      </c>
      <c r="M237">
        <f t="shared" ca="1" si="10"/>
        <v>615.80280782156206</v>
      </c>
    </row>
    <row r="238" spans="1:13" ht="22" x14ac:dyDescent="0.3">
      <c r="A238" s="8">
        <v>17</v>
      </c>
      <c r="B238" s="11">
        <v>45934</v>
      </c>
      <c r="C238" s="10">
        <v>546.29</v>
      </c>
      <c r="D238" s="10">
        <v>28173490</v>
      </c>
      <c r="E238" s="10" t="s">
        <v>1332</v>
      </c>
      <c r="F238" s="10" t="s">
        <v>1333</v>
      </c>
      <c r="G238" s="10" t="s">
        <v>1334</v>
      </c>
      <c r="I238" s="12">
        <f t="shared" si="9"/>
        <v>-6.9777250791010381E-2</v>
      </c>
      <c r="K238">
        <f t="shared" ca="1" si="11"/>
        <v>-0.58097210413586065</v>
      </c>
      <c r="M238">
        <f t="shared" ca="1" si="10"/>
        <v>623.73153176573885</v>
      </c>
    </row>
    <row r="239" spans="1:13" ht="22" x14ac:dyDescent="0.3">
      <c r="A239" s="8">
        <v>16</v>
      </c>
      <c r="B239" s="11">
        <v>45904</v>
      </c>
      <c r="C239" s="10">
        <v>585.77</v>
      </c>
      <c r="D239" s="10">
        <v>39216580</v>
      </c>
      <c r="E239" s="10" t="s">
        <v>1335</v>
      </c>
      <c r="F239" s="10" t="s">
        <v>1336</v>
      </c>
      <c r="G239" s="10" t="s">
        <v>1337</v>
      </c>
      <c r="I239" s="12">
        <f t="shared" si="9"/>
        <v>0.13763453144947579</v>
      </c>
      <c r="K239">
        <f t="shared" ca="1" si="11"/>
        <v>-0.86022467732395291</v>
      </c>
      <c r="M239">
        <f t="shared" ca="1" si="10"/>
        <v>632.60214738277477</v>
      </c>
    </row>
    <row r="240" spans="1:13" ht="22" x14ac:dyDescent="0.3">
      <c r="A240" s="8">
        <v>15</v>
      </c>
      <c r="B240" s="11">
        <v>45873</v>
      </c>
      <c r="C240" s="10">
        <v>510.45</v>
      </c>
      <c r="D240" s="10">
        <v>28034210</v>
      </c>
      <c r="E240" s="10" t="s">
        <v>1338</v>
      </c>
      <c r="F240" s="10" t="s">
        <v>1339</v>
      </c>
      <c r="G240" s="10" t="s">
        <v>1340</v>
      </c>
      <c r="I240" s="12">
        <f t="shared" si="9"/>
        <v>-1.1298454660218837E-2</v>
      </c>
      <c r="K240">
        <f t="shared" ca="1" si="11"/>
        <v>0.84211897428668958</v>
      </c>
      <c r="M240">
        <f t="shared" ca="1" si="10"/>
        <v>645.94332518203225</v>
      </c>
    </row>
    <row r="241" spans="1:13" ht="22" x14ac:dyDescent="0.3">
      <c r="A241" s="8">
        <v>14</v>
      </c>
      <c r="B241" s="11">
        <v>45842</v>
      </c>
      <c r="C241" s="10">
        <v>516.25</v>
      </c>
      <c r="D241" s="10">
        <v>36606140</v>
      </c>
      <c r="E241" s="10" t="s">
        <v>1341</v>
      </c>
      <c r="F241" s="10" t="s">
        <v>1342</v>
      </c>
      <c r="G241" s="10" t="s">
        <v>1343</v>
      </c>
      <c r="I241" s="12">
        <f t="shared" si="9"/>
        <v>2.2567511443358335E-2</v>
      </c>
      <c r="K241">
        <f t="shared" ca="1" si="11"/>
        <v>0.27741759965311341</v>
      </c>
      <c r="M241">
        <f t="shared" ca="1" si="10"/>
        <v>632.98272397645667</v>
      </c>
    </row>
    <row r="242" spans="1:13" ht="22" x14ac:dyDescent="0.3">
      <c r="A242" s="8">
        <v>13</v>
      </c>
      <c r="B242" s="11">
        <v>45751</v>
      </c>
      <c r="C242" s="10">
        <v>504.73</v>
      </c>
      <c r="D242" s="10">
        <v>38589810</v>
      </c>
      <c r="E242" s="10" t="s">
        <v>1344</v>
      </c>
      <c r="F242" s="10" t="s">
        <v>1345</v>
      </c>
      <c r="G242" s="10" t="s">
        <v>1346</v>
      </c>
      <c r="I242" s="12">
        <f t="shared" si="9"/>
        <v>-5.1905315571890931E-2</v>
      </c>
      <c r="K242">
        <f t="shared" ca="1" si="11"/>
        <v>-0.94810485524718313</v>
      </c>
      <c r="M242">
        <f t="shared" ca="1" si="10"/>
        <v>628.80489100219097</v>
      </c>
    </row>
    <row r="243" spans="1:13" ht="22" x14ac:dyDescent="0.3">
      <c r="A243" s="8">
        <v>12</v>
      </c>
      <c r="B243" s="11">
        <v>45720</v>
      </c>
      <c r="C243" s="10">
        <v>531.62</v>
      </c>
      <c r="D243" s="10">
        <v>34777460</v>
      </c>
      <c r="E243" s="10" t="s">
        <v>1347</v>
      </c>
      <c r="F243" s="10" t="s">
        <v>1348</v>
      </c>
      <c r="G243" s="10" t="s">
        <v>1349</v>
      </c>
      <c r="I243" s="12">
        <f t="shared" si="9"/>
        <v>-9.3852164226607471E-2</v>
      </c>
      <c r="K243">
        <f t="shared" ca="1" si="11"/>
        <v>1.8298086008294361</v>
      </c>
      <c r="M243">
        <f t="shared" ca="1" si="10"/>
        <v>643.43099499193227</v>
      </c>
    </row>
    <row r="244" spans="1:13" ht="22" x14ac:dyDescent="0.3">
      <c r="A244" s="8">
        <v>11</v>
      </c>
      <c r="B244" s="11">
        <v>45692</v>
      </c>
      <c r="C244" s="10">
        <v>583.92999999999995</v>
      </c>
      <c r="D244" s="10">
        <v>13470780</v>
      </c>
      <c r="E244" s="10" t="s">
        <v>1350</v>
      </c>
      <c r="F244" s="10" t="s">
        <v>1351</v>
      </c>
      <c r="G244" s="10" t="s">
        <v>1352</v>
      </c>
      <c r="I244" s="12">
        <f t="shared" si="9"/>
        <v>-3.5386769466292378E-3</v>
      </c>
      <c r="K244">
        <f t="shared" ca="1" si="11"/>
        <v>1.9771925930107261E-2</v>
      </c>
      <c r="M244">
        <f t="shared" ca="1" si="10"/>
        <v>615.64944575006268</v>
      </c>
    </row>
    <row r="245" spans="1:13" ht="22" x14ac:dyDescent="0.3">
      <c r="A245" s="8">
        <v>10</v>
      </c>
      <c r="B245" s="11">
        <v>45661</v>
      </c>
      <c r="C245" s="10">
        <v>586</v>
      </c>
      <c r="D245" s="10">
        <v>12836570</v>
      </c>
      <c r="E245" s="10" t="s">
        <v>1353</v>
      </c>
      <c r="F245" s="10" t="s">
        <v>1354</v>
      </c>
      <c r="G245" s="10" t="s">
        <v>1355</v>
      </c>
      <c r="I245" s="12">
        <f t="shared" si="9"/>
        <v>1.6587324112278701E-2</v>
      </c>
      <c r="K245">
        <f t="shared" ca="1" si="11"/>
        <v>-2.2915227243032175</v>
      </c>
      <c r="M245">
        <f t="shared" ca="1" si="10"/>
        <v>615.40577976730265</v>
      </c>
    </row>
    <row r="246" spans="1:13" ht="22" x14ac:dyDescent="0.3">
      <c r="A246" s="8">
        <v>9</v>
      </c>
      <c r="B246" s="9" t="s">
        <v>625</v>
      </c>
      <c r="C246" s="10">
        <v>576.36</v>
      </c>
      <c r="D246" s="10">
        <v>21124680</v>
      </c>
      <c r="E246" s="10" t="s">
        <v>1356</v>
      </c>
      <c r="F246" s="10" t="s">
        <v>1357</v>
      </c>
      <c r="G246" s="10" t="s">
        <v>1358</v>
      </c>
      <c r="I246" s="12">
        <f t="shared" si="9"/>
        <v>-6.59092903921632E-4</v>
      </c>
      <c r="K246">
        <f t="shared" ca="1" si="11"/>
        <v>-0.40199381196295297</v>
      </c>
      <c r="M246">
        <f t="shared" ca="1" si="10"/>
        <v>650.49951476036972</v>
      </c>
    </row>
    <row r="247" spans="1:13" ht="22" x14ac:dyDescent="0.3">
      <c r="A247" s="8">
        <v>8</v>
      </c>
      <c r="B247" s="9" t="s">
        <v>627</v>
      </c>
      <c r="C247" s="10">
        <v>576.74</v>
      </c>
      <c r="D247" s="10">
        <v>17602820</v>
      </c>
      <c r="E247" s="10" t="s">
        <v>1359</v>
      </c>
      <c r="F247" s="10" t="s">
        <v>1360</v>
      </c>
      <c r="G247" s="10" t="s">
        <v>1361</v>
      </c>
      <c r="I247" s="12">
        <f t="shared" si="9"/>
        <v>-4.3828878264647209E-2</v>
      </c>
      <c r="K247">
        <f t="shared" ca="1" si="11"/>
        <v>0.4613755979442819</v>
      </c>
      <c r="M247">
        <f t="shared" ca="1" si="10"/>
        <v>656.90344486495189</v>
      </c>
    </row>
    <row r="248" spans="1:13" ht="22" x14ac:dyDescent="0.3">
      <c r="A248" s="8">
        <v>7</v>
      </c>
      <c r="B248" s="9" t="s">
        <v>629</v>
      </c>
      <c r="C248" s="10">
        <v>602.58000000000004</v>
      </c>
      <c r="D248" s="10">
        <v>10436520</v>
      </c>
      <c r="E248" s="10" t="s">
        <v>1362</v>
      </c>
      <c r="F248" s="10" t="s">
        <v>1363</v>
      </c>
      <c r="G248" s="10" t="s">
        <v>1364</v>
      </c>
      <c r="I248" s="12">
        <f t="shared" si="9"/>
        <v>-1.3843788778326704E-2</v>
      </c>
      <c r="K248">
        <f t="shared" ca="1" si="11"/>
        <v>0.35109283426851307</v>
      </c>
      <c r="M248">
        <f t="shared" ca="1" si="10"/>
        <v>649.67316904926304</v>
      </c>
    </row>
    <row r="249" spans="1:13" ht="22" x14ac:dyDescent="0.3">
      <c r="A249" s="8">
        <v>6</v>
      </c>
      <c r="B249" s="9" t="s">
        <v>632</v>
      </c>
      <c r="C249" s="10">
        <v>610.98</v>
      </c>
      <c r="D249" s="10">
        <v>12661890</v>
      </c>
      <c r="E249" s="10" t="s">
        <v>1365</v>
      </c>
      <c r="F249" s="10" t="s">
        <v>1366</v>
      </c>
      <c r="G249" s="10" t="s">
        <v>1367</v>
      </c>
      <c r="I249" s="12">
        <f t="shared" si="9"/>
        <v>-2.478123078134864E-2</v>
      </c>
      <c r="K249">
        <f t="shared" ca="1" si="11"/>
        <v>1.7823403479885473</v>
      </c>
      <c r="M249">
        <f t="shared" ca="1" si="10"/>
        <v>644.23713453421567</v>
      </c>
    </row>
    <row r="250" spans="1:13" ht="22" x14ac:dyDescent="0.3">
      <c r="A250" s="8">
        <v>5</v>
      </c>
      <c r="B250" s="9" t="s">
        <v>634</v>
      </c>
      <c r="C250" s="10">
        <v>626.30999999999995</v>
      </c>
      <c r="D250" s="10">
        <v>15312540</v>
      </c>
      <c r="E250" s="10" t="s">
        <v>1368</v>
      </c>
      <c r="F250" s="10" t="s">
        <v>1369</v>
      </c>
      <c r="G250" s="10" t="s">
        <v>1370</v>
      </c>
      <c r="I250" s="12">
        <f t="shared" si="9"/>
        <v>1.1982539206946363E-2</v>
      </c>
      <c r="K250">
        <f t="shared" ca="1" si="11"/>
        <v>7.0358021287809006E-2</v>
      </c>
      <c r="M250">
        <f ca="1">M251*EXP((($P$3-$P$4/2)+$P$5*K250))</f>
        <v>617.12828908023926</v>
      </c>
    </row>
    <row r="251" spans="1:13" ht="22" x14ac:dyDescent="0.3">
      <c r="A251" s="8">
        <v>4</v>
      </c>
      <c r="B251" s="9" t="s">
        <v>635</v>
      </c>
      <c r="C251" s="10">
        <v>618.85</v>
      </c>
      <c r="D251" s="10">
        <v>15741270</v>
      </c>
      <c r="E251" s="10" t="s">
        <v>1371</v>
      </c>
      <c r="F251" s="10" t="s">
        <v>1372</v>
      </c>
      <c r="G251" s="10" t="s">
        <v>1373</v>
      </c>
      <c r="I251" s="12">
        <f t="shared" si="9"/>
        <v>3.7202874783480055E-2</v>
      </c>
      <c r="K251">
        <f t="shared" ca="1" si="11"/>
        <v>1.0389670770592634</v>
      </c>
      <c r="M251">
        <f ca="1">M252*EXP((($P$3-$P$4/2)+$P$5*K251))</f>
        <v>616.13038275571625</v>
      </c>
    </row>
    <row r="252" spans="1:13" ht="22" x14ac:dyDescent="0.3">
      <c r="A252" s="8">
        <v>3</v>
      </c>
      <c r="B252" s="9" t="s">
        <v>638</v>
      </c>
      <c r="C252" s="10">
        <v>596.25</v>
      </c>
      <c r="D252" s="10">
        <v>25015860</v>
      </c>
      <c r="E252" s="10" t="s">
        <v>1374</v>
      </c>
      <c r="F252" s="10" t="s">
        <v>1375</v>
      </c>
      <c r="G252" s="10" t="s">
        <v>1376</v>
      </c>
      <c r="I252" s="12">
        <f t="shared" si="9"/>
        <v>1.7340252625539065E-2</v>
      </c>
      <c r="K252">
        <f t="shared" ca="1" si="11"/>
        <v>-0.43971046986685486</v>
      </c>
      <c r="M252">
        <f ca="1">M253*EXP((($P$3-$P$4/2)+$P$5*K252))</f>
        <v>600.90265357550754</v>
      </c>
    </row>
    <row r="253" spans="1:13" ht="22" x14ac:dyDescent="0.3">
      <c r="A253" s="8">
        <v>2</v>
      </c>
      <c r="B253" s="9" t="s">
        <v>640</v>
      </c>
      <c r="C253" s="10">
        <v>586</v>
      </c>
      <c r="D253" s="10">
        <v>24336510</v>
      </c>
      <c r="E253" s="10" t="s">
        <v>1377</v>
      </c>
      <c r="F253" s="10" t="s">
        <v>1378</v>
      </c>
      <c r="G253" s="10" t="s">
        <v>1379</v>
      </c>
      <c r="I253" s="12">
        <f t="shared" si="9"/>
        <v>3.3160723001222081E-3</v>
      </c>
      <c r="K253">
        <f t="shared" ca="1" si="11"/>
        <v>1.6229103104600497</v>
      </c>
      <c r="M253">
        <f ca="1">M254*EXP((($P$3-$P$4/2)+$P$5*K253))</f>
        <v>607.37166209669738</v>
      </c>
    </row>
    <row r="254" spans="1:13" ht="22" x14ac:dyDescent="0.3">
      <c r="A254" s="8">
        <v>1</v>
      </c>
      <c r="B254" s="9" t="s">
        <v>643</v>
      </c>
      <c r="C254" s="10">
        <v>584.05999999999995</v>
      </c>
      <c r="D254" s="10">
        <v>20537500</v>
      </c>
      <c r="E254" s="10" t="s">
        <v>1380</v>
      </c>
      <c r="F254" s="10" t="s">
        <v>1381</v>
      </c>
      <c r="G254" s="10" t="s">
        <v>1382</v>
      </c>
      <c r="I254" s="12">
        <f>0</f>
        <v>0</v>
      </c>
      <c r="K254">
        <f t="shared" ca="1" si="11"/>
        <v>0.17205536284595035</v>
      </c>
      <c r="M254">
        <f>C254</f>
        <v>584.05999999999995</v>
      </c>
    </row>
    <row r="255" spans="1:13" ht="20" x14ac:dyDescent="0.2">
      <c r="A255" s="8"/>
      <c r="B255" s="8"/>
      <c r="C255" s="8"/>
      <c r="D255" s="8"/>
      <c r="E255" s="8"/>
      <c r="F255" s="8"/>
      <c r="G255" s="8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35E6-6C15-BA4B-A976-CBC325F3BE48}">
  <dimension ref="A1:P254"/>
  <sheetViews>
    <sheetView topLeftCell="D1" zoomScaleNormal="100" workbookViewId="0">
      <selection activeCell="U18" sqref="U18"/>
    </sheetView>
  </sheetViews>
  <sheetFormatPr baseColWidth="10" defaultColWidth="11" defaultRowHeight="16" x14ac:dyDescent="0.2"/>
  <cols>
    <col min="11" max="11" width="14.5" customWidth="1"/>
    <col min="12" max="12" width="16.83203125" bestFit="1" customWidth="1"/>
    <col min="13" max="13" width="13.33203125" bestFit="1" customWidth="1"/>
    <col min="15" max="15" width="12.83203125" bestFit="1" customWidth="1"/>
  </cols>
  <sheetData>
    <row r="1" spans="1:16" ht="22" x14ac:dyDescent="0.3">
      <c r="A1" s="2" t="s">
        <v>1383</v>
      </c>
    </row>
    <row r="2" spans="1:16" x14ac:dyDescent="0.2">
      <c r="O2" s="14"/>
      <c r="P2" s="15" t="s">
        <v>1384</v>
      </c>
    </row>
    <row r="3" spans="1:16" ht="22" x14ac:dyDescent="0.3">
      <c r="A3" s="21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I3" s="4" t="s">
        <v>9</v>
      </c>
      <c r="K3" s="13" t="s">
        <v>10</v>
      </c>
      <c r="M3" s="18" t="s">
        <v>1385</v>
      </c>
      <c r="N3" s="18"/>
      <c r="O3" s="1" t="s">
        <v>12</v>
      </c>
      <c r="P3" s="20">
        <f>AVERAGE(I4:I254)</f>
        <v>-1.3482308283282509E-5</v>
      </c>
    </row>
    <row r="4" spans="1:16" ht="22" x14ac:dyDescent="0.3">
      <c r="A4" s="21">
        <v>251</v>
      </c>
      <c r="B4" s="4" t="s">
        <v>13</v>
      </c>
      <c r="C4" s="5">
        <v>393.8</v>
      </c>
      <c r="D4" s="5">
        <v>6726</v>
      </c>
      <c r="E4" s="5" t="s">
        <v>1386</v>
      </c>
      <c r="F4" s="5" t="s">
        <v>1387</v>
      </c>
      <c r="G4" s="5" t="s">
        <v>1388</v>
      </c>
      <c r="I4" s="5">
        <f>LN(C4)-LN(C5)</f>
        <v>-2.5992415327174001E-2</v>
      </c>
      <c r="K4" s="13">
        <f ca="1">_xlfn.NORM.S.INV(RAND())</f>
        <v>1.2305772938070885</v>
      </c>
      <c r="M4">
        <f t="shared" ref="M4:M67" ca="1" si="0">M5*EXP((($P$3-$P$4/2)+$P$5*K4))</f>
        <v>996.11150882812547</v>
      </c>
      <c r="O4" s="1" t="s">
        <v>17</v>
      </c>
      <c r="P4" s="20">
        <f>_xlfn.VAR.S(I4:I254)</f>
        <v>6.5495582095870155E-4</v>
      </c>
    </row>
    <row r="5" spans="1:16" ht="22" x14ac:dyDescent="0.3">
      <c r="A5" s="21">
        <v>250</v>
      </c>
      <c r="B5" s="4" t="s">
        <v>18</v>
      </c>
      <c r="C5" s="5">
        <v>404.17</v>
      </c>
      <c r="D5" s="5">
        <v>500</v>
      </c>
      <c r="E5" s="5" t="s">
        <v>1389</v>
      </c>
      <c r="F5" s="5" t="s">
        <v>1390</v>
      </c>
      <c r="G5" s="5" t="s">
        <v>1391</v>
      </c>
      <c r="I5" s="5">
        <f t="shared" ref="I5:I68" si="1">LN(C5)-LN(C6)</f>
        <v>-1.4321578166154758E-2</v>
      </c>
      <c r="K5" s="13">
        <f t="shared" ref="K5:K68" ca="1" si="2">_xlfn.NORM.S.INV(RAND())</f>
        <v>8.6898772794823248E-2</v>
      </c>
      <c r="M5">
        <f t="shared" ca="1" si="0"/>
        <v>965.5589006051249</v>
      </c>
      <c r="O5" s="1" t="s">
        <v>22</v>
      </c>
      <c r="P5" s="20">
        <f>SQRT(P4)</f>
        <v>2.5592104660592134E-2</v>
      </c>
    </row>
    <row r="6" spans="1:16" ht="22" x14ac:dyDescent="0.3">
      <c r="A6" s="21">
        <v>249</v>
      </c>
      <c r="B6" s="4" t="s">
        <v>23</v>
      </c>
      <c r="C6" s="5">
        <v>410</v>
      </c>
      <c r="D6" s="5">
        <v>452</v>
      </c>
      <c r="E6" s="5" t="s">
        <v>1392</v>
      </c>
      <c r="F6" s="5" t="s">
        <v>1393</v>
      </c>
      <c r="G6" s="5" t="s">
        <v>1394</v>
      </c>
      <c r="I6" s="5">
        <f t="shared" si="1"/>
        <v>1.9540905450769586E-2</v>
      </c>
      <c r="K6" s="13">
        <f t="shared" ca="1" si="2"/>
        <v>-0.55244565792346612</v>
      </c>
      <c r="M6">
        <f t="shared" ca="1" si="0"/>
        <v>963.74250026965206</v>
      </c>
    </row>
    <row r="7" spans="1:16" ht="22" x14ac:dyDescent="0.3">
      <c r="A7" s="21">
        <v>248</v>
      </c>
      <c r="B7" s="4" t="s">
        <v>27</v>
      </c>
      <c r="C7" s="5">
        <v>402.06599999999997</v>
      </c>
      <c r="D7" s="5">
        <v>369</v>
      </c>
      <c r="E7" s="5" t="s">
        <v>1395</v>
      </c>
      <c r="F7" s="5" t="s">
        <v>1396</v>
      </c>
      <c r="G7" s="5" t="s">
        <v>1394</v>
      </c>
      <c r="I7" s="5">
        <f t="shared" si="1"/>
        <v>-6.6331394482261885E-2</v>
      </c>
      <c r="K7" s="13">
        <f t="shared" ca="1" si="2"/>
        <v>-0.29372799388594517</v>
      </c>
      <c r="M7">
        <f t="shared" ca="1" si="0"/>
        <v>977.79824015418342</v>
      </c>
    </row>
    <row r="8" spans="1:16" ht="22" x14ac:dyDescent="0.3">
      <c r="A8" s="21">
        <v>247</v>
      </c>
      <c r="B8" s="6">
        <v>46359</v>
      </c>
      <c r="C8" s="5">
        <v>429.64</v>
      </c>
      <c r="D8" s="5">
        <v>297</v>
      </c>
      <c r="E8" s="5" t="s">
        <v>1397</v>
      </c>
      <c r="F8" s="5" t="s">
        <v>1398</v>
      </c>
      <c r="G8" s="5" t="s">
        <v>1399</v>
      </c>
      <c r="I8" s="5">
        <f t="shared" si="1"/>
        <v>4.1900027830216402E-2</v>
      </c>
      <c r="K8" s="13">
        <f t="shared" ca="1" si="2"/>
        <v>-0.17505754959716102</v>
      </c>
      <c r="L8" s="1"/>
      <c r="M8">
        <f t="shared" ca="1" si="0"/>
        <v>985.51212323118</v>
      </c>
      <c r="N8" s="1"/>
      <c r="O8" s="1"/>
    </row>
    <row r="9" spans="1:16" ht="22" x14ac:dyDescent="0.3">
      <c r="A9" s="21">
        <v>246</v>
      </c>
      <c r="B9" s="6">
        <v>46329</v>
      </c>
      <c r="C9" s="5">
        <v>412.01</v>
      </c>
      <c r="D9" s="5">
        <v>3383</v>
      </c>
      <c r="E9" s="5" t="s">
        <v>1400</v>
      </c>
      <c r="F9" s="5" t="s">
        <v>1401</v>
      </c>
      <c r="G9" s="5" t="s">
        <v>1395</v>
      </c>
      <c r="I9" s="5">
        <f t="shared" si="1"/>
        <v>-1.562926902990025E-2</v>
      </c>
      <c r="K9" s="13">
        <f t="shared" ca="1" si="2"/>
        <v>-0.16583575981365864</v>
      </c>
      <c r="L9" s="1"/>
      <c r="M9">
        <f t="shared" ca="1" si="0"/>
        <v>990.27479911077978</v>
      </c>
      <c r="N9" s="1"/>
      <c r="O9" s="1"/>
    </row>
    <row r="10" spans="1:16" ht="22" x14ac:dyDescent="0.3">
      <c r="A10" s="21">
        <v>245</v>
      </c>
      <c r="B10" s="6">
        <v>46298</v>
      </c>
      <c r="C10" s="5">
        <v>418.5</v>
      </c>
      <c r="D10" s="5">
        <v>1784</v>
      </c>
      <c r="E10" s="5" t="s">
        <v>1402</v>
      </c>
      <c r="F10" s="5" t="s">
        <v>1403</v>
      </c>
      <c r="G10" s="5" t="s">
        <v>1404</v>
      </c>
      <c r="I10" s="5">
        <f t="shared" si="1"/>
        <v>-2.0224212462625957E-2</v>
      </c>
      <c r="K10" s="13">
        <f t="shared" ca="1" si="2"/>
        <v>0.99842633270950343</v>
      </c>
      <c r="L10" s="1"/>
      <c r="M10">
        <f t="shared" ca="1" si="0"/>
        <v>994.82567998162847</v>
      </c>
      <c r="N10" s="1"/>
      <c r="O10" s="1"/>
    </row>
    <row r="11" spans="1:16" ht="22" x14ac:dyDescent="0.3">
      <c r="A11" s="21">
        <v>244</v>
      </c>
      <c r="B11" s="6">
        <v>46268</v>
      </c>
      <c r="C11" s="5">
        <v>427.05</v>
      </c>
      <c r="D11" s="5">
        <v>424</v>
      </c>
      <c r="E11" s="5" t="s">
        <v>1405</v>
      </c>
      <c r="F11" s="5" t="s">
        <v>1406</v>
      </c>
      <c r="G11" s="5" t="s">
        <v>1407</v>
      </c>
      <c r="I11" s="5">
        <f t="shared" si="1"/>
        <v>2.5838293011126723E-3</v>
      </c>
      <c r="K11" s="13">
        <f t="shared" ca="1" si="2"/>
        <v>-1.2743697165560974</v>
      </c>
      <c r="M11">
        <f t="shared" ca="1" si="0"/>
        <v>970.05876761059915</v>
      </c>
    </row>
    <row r="12" spans="1:16" ht="22" x14ac:dyDescent="0.3">
      <c r="A12" s="21">
        <v>243</v>
      </c>
      <c r="B12" s="6">
        <v>46176</v>
      </c>
      <c r="C12" s="5">
        <v>425.94799999999998</v>
      </c>
      <c r="D12" s="5">
        <v>233</v>
      </c>
      <c r="E12" s="5" t="s">
        <v>1408</v>
      </c>
      <c r="F12" s="5" t="s">
        <v>1409</v>
      </c>
      <c r="G12" s="5" t="s">
        <v>1408</v>
      </c>
      <c r="I12" s="5">
        <f t="shared" si="1"/>
        <v>-4.564287017023716E-2</v>
      </c>
      <c r="K12" s="13">
        <f t="shared" ca="1" si="2"/>
        <v>-1.4460688977099359</v>
      </c>
      <c r="M12">
        <f t="shared" ca="1" si="0"/>
        <v>1002.5594089360299</v>
      </c>
    </row>
    <row r="13" spans="1:16" ht="22" x14ac:dyDescent="0.3">
      <c r="A13" s="21">
        <v>242</v>
      </c>
      <c r="B13" s="6">
        <v>46145</v>
      </c>
      <c r="C13" s="5">
        <v>445.84</v>
      </c>
      <c r="D13" s="5">
        <v>1161</v>
      </c>
      <c r="E13" s="5" t="s">
        <v>1410</v>
      </c>
      <c r="F13" s="5" t="s">
        <v>1411</v>
      </c>
      <c r="G13" s="5" t="s">
        <v>1410</v>
      </c>
      <c r="I13" s="5">
        <f t="shared" si="1"/>
        <v>5.058052420686554E-2</v>
      </c>
      <c r="K13" s="13">
        <f t="shared" ca="1" si="2"/>
        <v>-0.69910776428946231</v>
      </c>
      <c r="M13">
        <f t="shared" ca="1" si="0"/>
        <v>1040.7119497611902</v>
      </c>
    </row>
    <row r="14" spans="1:16" ht="22" x14ac:dyDescent="0.3">
      <c r="A14" s="21">
        <v>241</v>
      </c>
      <c r="B14" s="6">
        <v>46115</v>
      </c>
      <c r="C14" s="5">
        <v>423.85</v>
      </c>
      <c r="D14" s="5">
        <v>267</v>
      </c>
      <c r="E14" s="5" t="s">
        <v>1412</v>
      </c>
      <c r="F14" s="5" t="s">
        <v>1413</v>
      </c>
      <c r="G14" s="5" t="s">
        <v>1414</v>
      </c>
      <c r="I14" s="5">
        <f t="shared" si="1"/>
        <v>-4.3901170187871763E-2</v>
      </c>
      <c r="K14" s="13">
        <f t="shared" ca="1" si="2"/>
        <v>1.5042439055783776</v>
      </c>
      <c r="M14">
        <f t="shared" ca="1" si="0"/>
        <v>1059.8608705525469</v>
      </c>
    </row>
    <row r="15" spans="1:16" ht="22" x14ac:dyDescent="0.3">
      <c r="A15" s="21">
        <v>240</v>
      </c>
      <c r="B15" s="6">
        <v>46084</v>
      </c>
      <c r="C15" s="5">
        <v>442.87200000000001</v>
      </c>
      <c r="D15" s="5">
        <v>268</v>
      </c>
      <c r="E15" s="5" t="s">
        <v>1415</v>
      </c>
      <c r="F15" s="5" t="s">
        <v>1416</v>
      </c>
      <c r="G15" s="5" t="s">
        <v>1417</v>
      </c>
      <c r="I15" s="5">
        <f t="shared" si="1"/>
        <v>-9.2778053712825326E-3</v>
      </c>
      <c r="K15" s="13">
        <f t="shared" ca="1" si="2"/>
        <v>0.94819156754959211</v>
      </c>
      <c r="M15">
        <f t="shared" ca="1" si="0"/>
        <v>1020.1828113654291</v>
      </c>
    </row>
    <row r="16" spans="1:16" ht="22" x14ac:dyDescent="0.3">
      <c r="A16" s="21">
        <v>239</v>
      </c>
      <c r="B16" s="6">
        <v>46056</v>
      </c>
      <c r="C16" s="5">
        <v>447</v>
      </c>
      <c r="D16" s="5">
        <v>606</v>
      </c>
      <c r="E16" s="5" t="s">
        <v>1418</v>
      </c>
      <c r="F16" s="5" t="s">
        <v>1419</v>
      </c>
      <c r="G16" s="5" t="s">
        <v>1420</v>
      </c>
      <c r="I16" s="5">
        <f t="shared" si="1"/>
        <v>-6.2018570203057344E-2</v>
      </c>
      <c r="K16" s="13">
        <f t="shared" ca="1" si="2"/>
        <v>-3.4081857584811207E-2</v>
      </c>
      <c r="M16">
        <f t="shared" ca="1" si="0"/>
        <v>996.06434551811276</v>
      </c>
    </row>
    <row r="17" spans="1:13" ht="22" x14ac:dyDescent="0.3">
      <c r="A17" s="21">
        <v>238</v>
      </c>
      <c r="B17" s="4" t="s">
        <v>52</v>
      </c>
      <c r="C17" s="5">
        <v>475.6</v>
      </c>
      <c r="D17" s="5">
        <v>322</v>
      </c>
      <c r="E17" s="5" t="s">
        <v>1421</v>
      </c>
      <c r="F17" s="5" t="s">
        <v>1422</v>
      </c>
      <c r="G17" s="5" t="s">
        <v>1421</v>
      </c>
      <c r="I17" s="5">
        <f t="shared" si="1"/>
        <v>5.0590327123947176E-3</v>
      </c>
      <c r="K17" s="13">
        <f t="shared" ca="1" si="2"/>
        <v>0.61990882913881129</v>
      </c>
      <c r="M17">
        <f t="shared" ca="1" si="0"/>
        <v>997.27349083079162</v>
      </c>
    </row>
    <row r="18" spans="1:13" ht="22" x14ac:dyDescent="0.3">
      <c r="A18" s="21">
        <v>237</v>
      </c>
      <c r="B18" s="4" t="s">
        <v>54</v>
      </c>
      <c r="C18" s="5">
        <v>473.2</v>
      </c>
      <c r="D18" s="5">
        <v>231</v>
      </c>
      <c r="E18" s="5" t="s">
        <v>1423</v>
      </c>
      <c r="F18" s="5" t="s">
        <v>1423</v>
      </c>
      <c r="G18" s="5" t="s">
        <v>1424</v>
      </c>
      <c r="I18" s="5">
        <f t="shared" si="1"/>
        <v>2.5252786364578839E-2</v>
      </c>
      <c r="K18" s="13">
        <f t="shared" ca="1" si="2"/>
        <v>0.17673369039458156</v>
      </c>
      <c r="M18">
        <f t="shared" ca="1" si="0"/>
        <v>981.91155165502289</v>
      </c>
    </row>
    <row r="19" spans="1:13" ht="22" x14ac:dyDescent="0.3">
      <c r="A19" s="21">
        <v>236</v>
      </c>
      <c r="B19" s="4" t="s">
        <v>58</v>
      </c>
      <c r="C19" s="5">
        <v>461.4</v>
      </c>
      <c r="D19" s="5">
        <v>3089</v>
      </c>
      <c r="E19" s="5" t="s">
        <v>1425</v>
      </c>
      <c r="F19" s="5" t="s">
        <v>1425</v>
      </c>
      <c r="G19" s="5" t="s">
        <v>1426</v>
      </c>
      <c r="I19" s="5">
        <f t="shared" si="1"/>
        <v>-1.1892591044809997E-2</v>
      </c>
      <c r="K19" s="13">
        <f t="shared" ca="1" si="2"/>
        <v>0.70454955173608924</v>
      </c>
      <c r="M19">
        <f t="shared" ca="1" si="0"/>
        <v>977.81374568908598</v>
      </c>
    </row>
    <row r="20" spans="1:13" ht="22" x14ac:dyDescent="0.3">
      <c r="A20" s="21">
        <v>235</v>
      </c>
      <c r="B20" s="4" t="s">
        <v>62</v>
      </c>
      <c r="C20" s="5">
        <v>466.92</v>
      </c>
      <c r="D20" s="5">
        <v>3928</v>
      </c>
      <c r="E20" s="5" t="s">
        <v>1427</v>
      </c>
      <c r="F20" s="5" t="s">
        <v>1428</v>
      </c>
      <c r="G20" s="5" t="s">
        <v>1427</v>
      </c>
      <c r="I20" s="5">
        <f t="shared" si="1"/>
        <v>-8.5302914255329654E-3</v>
      </c>
      <c r="K20" s="13">
        <f t="shared" ca="1" si="2"/>
        <v>7.5786629356716442E-2</v>
      </c>
      <c r="M20">
        <f t="shared" ca="1" si="0"/>
        <v>960.66837115805788</v>
      </c>
    </row>
    <row r="21" spans="1:13" ht="22" x14ac:dyDescent="0.3">
      <c r="A21" s="21">
        <v>234</v>
      </c>
      <c r="B21" s="4" t="s">
        <v>65</v>
      </c>
      <c r="C21" s="5">
        <v>470.92</v>
      </c>
      <c r="D21" s="5">
        <v>12625</v>
      </c>
      <c r="E21" s="5" t="s">
        <v>1429</v>
      </c>
      <c r="F21" s="5" t="s">
        <v>1429</v>
      </c>
      <c r="G21" s="5" t="s">
        <v>1421</v>
      </c>
      <c r="I21" s="5">
        <f t="shared" si="1"/>
        <v>-8.1001214823990253E-3</v>
      </c>
      <c r="K21" s="13">
        <f t="shared" ca="1" si="2"/>
        <v>-0.92751371803486793</v>
      </c>
      <c r="M21">
        <f t="shared" ca="1" si="0"/>
        <v>959.13389356623088</v>
      </c>
    </row>
    <row r="22" spans="1:13" ht="22" x14ac:dyDescent="0.3">
      <c r="A22" s="21">
        <v>233</v>
      </c>
      <c r="B22" s="4" t="s">
        <v>69</v>
      </c>
      <c r="C22" s="5">
        <v>474.75</v>
      </c>
      <c r="D22" s="5">
        <v>181</v>
      </c>
      <c r="E22" s="5" t="s">
        <v>1430</v>
      </c>
      <c r="F22" s="5" t="s">
        <v>1430</v>
      </c>
      <c r="G22" s="5" t="s">
        <v>1431</v>
      </c>
      <c r="I22" s="5">
        <f t="shared" si="1"/>
        <v>1.8345237987332119E-2</v>
      </c>
      <c r="K22" s="13">
        <f t="shared" ca="1" si="2"/>
        <v>0.63028625544491867</v>
      </c>
      <c r="M22">
        <f t="shared" ca="1" si="0"/>
        <v>982.50818195936233</v>
      </c>
    </row>
    <row r="23" spans="1:13" ht="22" x14ac:dyDescent="0.3">
      <c r="A23" s="21">
        <v>232</v>
      </c>
      <c r="B23" s="4" t="s">
        <v>73</v>
      </c>
      <c r="C23" s="5">
        <v>466.12</v>
      </c>
      <c r="D23" s="5">
        <v>240</v>
      </c>
      <c r="E23" s="5" t="s">
        <v>1432</v>
      </c>
      <c r="F23" s="5" t="s">
        <v>1433</v>
      </c>
      <c r="G23" s="5" t="s">
        <v>1434</v>
      </c>
      <c r="I23" s="5">
        <f t="shared" si="1"/>
        <v>-7.0772170190736006E-4</v>
      </c>
      <c r="K23" s="13">
        <f t="shared" ca="1" si="2"/>
        <v>-0.30705948106691017</v>
      </c>
      <c r="M23">
        <f t="shared" ca="1" si="0"/>
        <v>967.11680552309531</v>
      </c>
    </row>
    <row r="24" spans="1:13" ht="22" x14ac:dyDescent="0.3">
      <c r="A24" s="21">
        <v>231</v>
      </c>
      <c r="B24" s="4" t="s">
        <v>76</v>
      </c>
      <c r="C24" s="5">
        <v>466.45</v>
      </c>
      <c r="D24" s="5">
        <v>491</v>
      </c>
      <c r="E24" s="5" t="s">
        <v>1435</v>
      </c>
      <c r="F24" s="5" t="s">
        <v>1435</v>
      </c>
      <c r="G24" s="5" t="s">
        <v>1436</v>
      </c>
      <c r="I24" s="5">
        <f t="shared" si="1"/>
        <v>1.8543692356694841E-2</v>
      </c>
      <c r="K24" s="13">
        <f t="shared" ca="1" si="2"/>
        <v>0.9251384522901881</v>
      </c>
      <c r="M24">
        <f t="shared" ca="1" si="0"/>
        <v>975.07904392225271</v>
      </c>
    </row>
    <row r="25" spans="1:13" ht="22" x14ac:dyDescent="0.3">
      <c r="A25" s="21">
        <v>230</v>
      </c>
      <c r="B25" s="4" t="s">
        <v>80</v>
      </c>
      <c r="C25" s="5">
        <v>457.88</v>
      </c>
      <c r="D25" s="5">
        <v>1076</v>
      </c>
      <c r="E25" s="5" t="s">
        <v>1437</v>
      </c>
      <c r="F25" s="5" t="s">
        <v>1438</v>
      </c>
      <c r="G25" s="5" t="s">
        <v>1439</v>
      </c>
      <c r="I25" s="5">
        <f t="shared" si="1"/>
        <v>2.2707164612505437E-2</v>
      </c>
      <c r="K25" s="13">
        <f t="shared" ca="1" si="2"/>
        <v>-0.2932132918825211</v>
      </c>
      <c r="M25">
        <f t="shared" ca="1" si="0"/>
        <v>952.5887309579665</v>
      </c>
    </row>
    <row r="26" spans="1:13" ht="22" x14ac:dyDescent="0.3">
      <c r="A26" s="21">
        <v>229</v>
      </c>
      <c r="B26" s="4" t="s">
        <v>83</v>
      </c>
      <c r="C26" s="5">
        <v>447.6</v>
      </c>
      <c r="D26" s="5">
        <v>10626</v>
      </c>
      <c r="E26" s="5" t="s">
        <v>1440</v>
      </c>
      <c r="F26" s="5" t="s">
        <v>1441</v>
      </c>
      <c r="G26" s="5" t="s">
        <v>1442</v>
      </c>
      <c r="I26" s="5">
        <f t="shared" si="1"/>
        <v>6.3645265160356068E-2</v>
      </c>
      <c r="K26" s="13">
        <f t="shared" ca="1" si="2"/>
        <v>0.62499239079870927</v>
      </c>
      <c r="M26">
        <f t="shared" ca="1" si="0"/>
        <v>960.09108867390785</v>
      </c>
    </row>
    <row r="27" spans="1:13" ht="22" x14ac:dyDescent="0.3">
      <c r="A27" s="21">
        <v>228</v>
      </c>
      <c r="B27" s="6">
        <v>46358</v>
      </c>
      <c r="C27" s="5">
        <v>420</v>
      </c>
      <c r="D27" s="5">
        <v>520</v>
      </c>
      <c r="E27" s="5" t="s">
        <v>1443</v>
      </c>
      <c r="F27" s="5" t="s">
        <v>1443</v>
      </c>
      <c r="G27" s="5" t="s">
        <v>1444</v>
      </c>
      <c r="I27" s="5">
        <f t="shared" si="1"/>
        <v>-0.12350210032064801</v>
      </c>
      <c r="K27" s="13">
        <f t="shared" ca="1" si="2"/>
        <v>0.59209113811237779</v>
      </c>
      <c r="M27">
        <f t="shared" ca="1" si="0"/>
        <v>945.17893004874827</v>
      </c>
    </row>
    <row r="28" spans="1:13" ht="22" x14ac:dyDescent="0.3">
      <c r="A28" s="21">
        <v>227</v>
      </c>
      <c r="B28" s="6">
        <v>46328</v>
      </c>
      <c r="C28" s="5">
        <v>475.21</v>
      </c>
      <c r="D28" s="5">
        <v>24865</v>
      </c>
      <c r="E28" s="5" t="s">
        <v>1445</v>
      </c>
      <c r="F28" s="5" t="s">
        <v>1445</v>
      </c>
      <c r="G28" s="5" t="s">
        <v>1446</v>
      </c>
      <c r="I28" s="5">
        <f t="shared" si="1"/>
        <v>3.7885166305962059E-4</v>
      </c>
      <c r="K28" s="13">
        <f t="shared" ca="1" si="2"/>
        <v>0.306562159837517</v>
      </c>
      <c r="M28">
        <f t="shared" ca="1" si="0"/>
        <v>931.28220847815737</v>
      </c>
    </row>
    <row r="29" spans="1:13" ht="22" x14ac:dyDescent="0.3">
      <c r="A29" s="21">
        <v>226</v>
      </c>
      <c r="B29" s="6">
        <v>46297</v>
      </c>
      <c r="C29" s="5">
        <v>475.03</v>
      </c>
      <c r="D29" s="5">
        <v>24808</v>
      </c>
      <c r="E29" s="5" t="s">
        <v>1447</v>
      </c>
      <c r="F29" s="5" t="s">
        <v>1447</v>
      </c>
      <c r="G29" s="5" t="s">
        <v>1448</v>
      </c>
      <c r="I29" s="5">
        <f t="shared" si="1"/>
        <v>2.4791879669049166E-2</v>
      </c>
      <c r="K29" s="13">
        <f t="shared" ca="1" si="2"/>
        <v>-0.15654297402746645</v>
      </c>
      <c r="M29">
        <f t="shared" ca="1" si="0"/>
        <v>924.31945713520645</v>
      </c>
    </row>
    <row r="30" spans="1:13" ht="22" x14ac:dyDescent="0.3">
      <c r="A30" s="21">
        <v>225</v>
      </c>
      <c r="B30" s="6">
        <v>46267</v>
      </c>
      <c r="C30" s="5">
        <v>463.39789999999999</v>
      </c>
      <c r="D30" s="5">
        <v>174</v>
      </c>
      <c r="E30" s="5" t="s">
        <v>1449</v>
      </c>
      <c r="F30" s="5" t="s">
        <v>1449</v>
      </c>
      <c r="G30" s="5" t="s">
        <v>1450</v>
      </c>
      <c r="I30" s="5">
        <f t="shared" si="1"/>
        <v>-2.2621241429123806E-2</v>
      </c>
      <c r="K30" s="13">
        <f t="shared" ca="1" si="2"/>
        <v>0.89908946977755366</v>
      </c>
      <c r="M30">
        <f t="shared" ca="1" si="0"/>
        <v>928.34642795804155</v>
      </c>
    </row>
    <row r="31" spans="1:13" ht="22" x14ac:dyDescent="0.3">
      <c r="A31" s="21">
        <v>224</v>
      </c>
      <c r="B31" s="6">
        <v>46175</v>
      </c>
      <c r="C31" s="5">
        <v>474</v>
      </c>
      <c r="D31" s="5">
        <v>275</v>
      </c>
      <c r="E31" s="5" t="s">
        <v>1451</v>
      </c>
      <c r="F31" s="5" t="s">
        <v>1452</v>
      </c>
      <c r="G31" s="5" t="s">
        <v>1453</v>
      </c>
      <c r="I31" s="5">
        <f t="shared" si="1"/>
        <v>0</v>
      </c>
      <c r="K31" s="13">
        <f t="shared" ca="1" si="2"/>
        <v>-0.47383946561912177</v>
      </c>
      <c r="M31">
        <f t="shared" ca="1" si="0"/>
        <v>907.53881586116711</v>
      </c>
    </row>
    <row r="32" spans="1:13" ht="22" x14ac:dyDescent="0.3">
      <c r="A32" s="21">
        <v>223</v>
      </c>
      <c r="B32" s="6">
        <v>46144</v>
      </c>
      <c r="C32" s="5">
        <v>474</v>
      </c>
      <c r="D32" s="5">
        <v>215</v>
      </c>
      <c r="E32" s="5" t="s">
        <v>1454</v>
      </c>
      <c r="F32" s="5" t="s">
        <v>1455</v>
      </c>
      <c r="G32" s="5" t="s">
        <v>1453</v>
      </c>
      <c r="I32" s="5">
        <f t="shared" si="1"/>
        <v>1.2311766638266164E-2</v>
      </c>
      <c r="K32" s="13">
        <f t="shared" ca="1" si="2"/>
        <v>-0.5440266372743876</v>
      </c>
      <c r="M32">
        <f t="shared" ca="1" si="0"/>
        <v>918.92439200181309</v>
      </c>
    </row>
    <row r="33" spans="1:13" ht="22" x14ac:dyDescent="0.3">
      <c r="A33" s="21">
        <v>222</v>
      </c>
      <c r="B33" s="6">
        <v>46114</v>
      </c>
      <c r="C33" s="5">
        <v>468.2</v>
      </c>
      <c r="D33" s="5">
        <v>857</v>
      </c>
      <c r="E33" s="5" t="s">
        <v>1456</v>
      </c>
      <c r="F33" s="5" t="s">
        <v>1457</v>
      </c>
      <c r="G33" s="5" t="s">
        <v>1458</v>
      </c>
      <c r="I33" s="5">
        <f t="shared" si="1"/>
        <v>4.4995578619040799E-2</v>
      </c>
      <c r="K33" s="13">
        <f t="shared" ca="1" si="2"/>
        <v>-0.40226508553682222</v>
      </c>
      <c r="M33">
        <f t="shared" ca="1" si="0"/>
        <v>932.12562259668687</v>
      </c>
    </row>
    <row r="34" spans="1:13" ht="22" x14ac:dyDescent="0.3">
      <c r="A34" s="21">
        <v>221</v>
      </c>
      <c r="B34" s="6">
        <v>46083</v>
      </c>
      <c r="C34" s="5">
        <v>447.6</v>
      </c>
      <c r="D34" s="5">
        <v>300</v>
      </c>
      <c r="E34" s="5" t="s">
        <v>1459</v>
      </c>
      <c r="F34" s="5" t="s">
        <v>1459</v>
      </c>
      <c r="G34" s="5" t="s">
        <v>1460</v>
      </c>
      <c r="I34" s="5">
        <f t="shared" si="1"/>
        <v>-3.8545947844998096E-2</v>
      </c>
      <c r="K34" s="13">
        <f t="shared" ca="1" si="2"/>
        <v>-7.2815401542707048E-2</v>
      </c>
      <c r="M34">
        <f t="shared" ca="1" si="0"/>
        <v>942.09240494368873</v>
      </c>
    </row>
    <row r="35" spans="1:13" ht="22" x14ac:dyDescent="0.3">
      <c r="A35" s="21">
        <v>220</v>
      </c>
      <c r="B35" s="6">
        <v>46055</v>
      </c>
      <c r="C35" s="5">
        <v>465.19</v>
      </c>
      <c r="D35" s="5">
        <v>296</v>
      </c>
      <c r="E35" s="5" t="s">
        <v>1461</v>
      </c>
      <c r="F35" s="5" t="s">
        <v>1461</v>
      </c>
      <c r="G35" s="5" t="s">
        <v>1462</v>
      </c>
      <c r="I35" s="5">
        <f t="shared" si="1"/>
        <v>-3.6537531973834803E-4</v>
      </c>
      <c r="K35" s="13">
        <f t="shared" ca="1" si="2"/>
        <v>-0.49221111145322322</v>
      </c>
      <c r="M35">
        <f t="shared" ca="1" si="0"/>
        <v>944.171500385012</v>
      </c>
    </row>
    <row r="36" spans="1:13" ht="22" x14ac:dyDescent="0.3">
      <c r="A36" s="21">
        <v>219</v>
      </c>
      <c r="B36" s="4" t="s">
        <v>111</v>
      </c>
      <c r="C36" s="5">
        <v>465.36</v>
      </c>
      <c r="D36" s="5">
        <v>477</v>
      </c>
      <c r="E36" s="5" t="s">
        <v>1463</v>
      </c>
      <c r="F36" s="5" t="s">
        <v>1463</v>
      </c>
      <c r="G36" s="5" t="s">
        <v>1464</v>
      </c>
      <c r="I36" s="5">
        <f t="shared" si="1"/>
        <v>-4.6177813045504834E-3</v>
      </c>
      <c r="K36" s="13">
        <f t="shared" ca="1" si="2"/>
        <v>1.7360536037572205</v>
      </c>
      <c r="M36">
        <f t="shared" ca="1" si="0"/>
        <v>956.46624896190485</v>
      </c>
    </row>
    <row r="37" spans="1:13" ht="22" x14ac:dyDescent="0.3">
      <c r="A37" s="21">
        <v>218</v>
      </c>
      <c r="B37" s="4" t="s">
        <v>114</v>
      </c>
      <c r="C37" s="5">
        <v>467.51389999999998</v>
      </c>
      <c r="D37" s="5">
        <v>394</v>
      </c>
      <c r="E37" s="5" t="s">
        <v>1465</v>
      </c>
      <c r="F37" s="5" t="s">
        <v>1465</v>
      </c>
      <c r="G37" s="5" t="s">
        <v>1466</v>
      </c>
      <c r="I37" s="5">
        <f t="shared" si="1"/>
        <v>4.2635848492071915E-2</v>
      </c>
      <c r="K37" s="13">
        <f t="shared" ca="1" si="2"/>
        <v>0.43990331191954313</v>
      </c>
      <c r="M37">
        <f t="shared" ca="1" si="0"/>
        <v>915.21334037189979</v>
      </c>
    </row>
    <row r="38" spans="1:13" ht="22" x14ac:dyDescent="0.3">
      <c r="A38" s="21">
        <v>217</v>
      </c>
      <c r="B38" s="4" t="s">
        <v>118</v>
      </c>
      <c r="C38" s="5">
        <v>448</v>
      </c>
      <c r="D38" s="5">
        <v>470</v>
      </c>
      <c r="E38" s="5" t="s">
        <v>1461</v>
      </c>
      <c r="F38" s="5" t="s">
        <v>1461</v>
      </c>
      <c r="G38" s="5" t="s">
        <v>1467</v>
      </c>
      <c r="I38" s="5">
        <f t="shared" si="1"/>
        <v>1.6978691358175979E-3</v>
      </c>
      <c r="K38" s="13">
        <f t="shared" ca="1" si="2"/>
        <v>0.35408360317517318</v>
      </c>
      <c r="M38">
        <f t="shared" ca="1" si="0"/>
        <v>905.27621365710172</v>
      </c>
    </row>
    <row r="39" spans="1:13" ht="22" x14ac:dyDescent="0.3">
      <c r="A39" s="21">
        <v>216</v>
      </c>
      <c r="B39" s="4" t="s">
        <v>122</v>
      </c>
      <c r="C39" s="5">
        <v>447.24</v>
      </c>
      <c r="D39" s="5">
        <v>4193</v>
      </c>
      <c r="E39" s="5" t="s">
        <v>1468</v>
      </c>
      <c r="F39" s="5" t="s">
        <v>1469</v>
      </c>
      <c r="G39" s="5" t="s">
        <v>1470</v>
      </c>
      <c r="I39" s="5">
        <f t="shared" si="1"/>
        <v>-4.0660994171073384E-2</v>
      </c>
      <c r="K39" s="13">
        <f t="shared" ca="1" si="2"/>
        <v>0.38587339422488648</v>
      </c>
      <c r="M39">
        <f t="shared" ca="1" si="0"/>
        <v>897.41581918356792</v>
      </c>
    </row>
    <row r="40" spans="1:13" ht="22" x14ac:dyDescent="0.3">
      <c r="A40" s="21">
        <v>215</v>
      </c>
      <c r="B40" s="4" t="s">
        <v>126</v>
      </c>
      <c r="C40" s="5">
        <v>465.8</v>
      </c>
      <c r="D40" s="5">
        <v>334</v>
      </c>
      <c r="E40" s="5" t="s">
        <v>1432</v>
      </c>
      <c r="F40" s="5" t="s">
        <v>1432</v>
      </c>
      <c r="G40" s="5" t="s">
        <v>1471</v>
      </c>
      <c r="I40" s="5">
        <f t="shared" si="1"/>
        <v>1.0310165016749195E-3</v>
      </c>
      <c r="K40" s="13">
        <f t="shared" ca="1" si="2"/>
        <v>0.42574303027218824</v>
      </c>
      <c r="M40">
        <f t="shared" ca="1" si="0"/>
        <v>888.90020076900385</v>
      </c>
    </row>
    <row r="41" spans="1:13" ht="22" x14ac:dyDescent="0.3">
      <c r="A41" s="21">
        <v>214</v>
      </c>
      <c r="B41" s="4" t="s">
        <v>129</v>
      </c>
      <c r="C41" s="5">
        <v>465.32</v>
      </c>
      <c r="D41" s="5">
        <v>564</v>
      </c>
      <c r="E41" s="5" t="s">
        <v>1472</v>
      </c>
      <c r="F41" s="5" t="s">
        <v>1473</v>
      </c>
      <c r="G41" s="5" t="s">
        <v>1474</v>
      </c>
      <c r="I41" s="5">
        <f t="shared" si="1"/>
        <v>-2.7470186387636986E-3</v>
      </c>
      <c r="K41" s="13">
        <f t="shared" ca="1" si="2"/>
        <v>0.68917951058056859</v>
      </c>
      <c r="M41">
        <f t="shared" ca="1" si="0"/>
        <v>879.5674646013191</v>
      </c>
    </row>
    <row r="42" spans="1:13" ht="22" x14ac:dyDescent="0.3">
      <c r="A42" s="21">
        <v>213</v>
      </c>
      <c r="B42" s="4" t="s">
        <v>133</v>
      </c>
      <c r="C42" s="5">
        <v>466.6</v>
      </c>
      <c r="D42" s="5">
        <v>236</v>
      </c>
      <c r="E42" s="5" t="s">
        <v>1475</v>
      </c>
      <c r="F42" s="5" t="s">
        <v>1476</v>
      </c>
      <c r="G42" s="5" t="s">
        <v>1475</v>
      </c>
      <c r="I42" s="5">
        <f t="shared" si="1"/>
        <v>7.455930527419774E-3</v>
      </c>
      <c r="K42" s="13">
        <f t="shared" ca="1" si="2"/>
        <v>1.9129307210824309</v>
      </c>
      <c r="M42">
        <f t="shared" ca="1" si="0"/>
        <v>864.48475905997873</v>
      </c>
    </row>
    <row r="43" spans="1:13" ht="22" x14ac:dyDescent="0.3">
      <c r="A43" s="21">
        <v>212</v>
      </c>
      <c r="B43" s="4" t="s">
        <v>135</v>
      </c>
      <c r="C43" s="5">
        <v>463.13400000000001</v>
      </c>
      <c r="D43" s="5">
        <v>725</v>
      </c>
      <c r="E43" s="5" t="s">
        <v>1477</v>
      </c>
      <c r="F43" s="5" t="s">
        <v>1478</v>
      </c>
      <c r="G43" s="5" t="s">
        <v>1479</v>
      </c>
      <c r="I43" s="5">
        <f t="shared" si="1"/>
        <v>3.2743872483056435E-3</v>
      </c>
      <c r="K43" s="13">
        <f t="shared" ca="1" si="2"/>
        <v>1.284626561702138</v>
      </c>
      <c r="M43">
        <f t="shared" ca="1" si="0"/>
        <v>823.46307720592688</v>
      </c>
    </row>
    <row r="44" spans="1:13" ht="22" x14ac:dyDescent="0.3">
      <c r="A44" s="21">
        <v>211</v>
      </c>
      <c r="B44" s="4" t="s">
        <v>138</v>
      </c>
      <c r="C44" s="5">
        <v>461.62</v>
      </c>
      <c r="D44" s="5">
        <v>903</v>
      </c>
      <c r="E44" s="5" t="s">
        <v>1480</v>
      </c>
      <c r="F44" s="5" t="s">
        <v>1481</v>
      </c>
      <c r="G44" s="5" t="s">
        <v>1482</v>
      </c>
      <c r="I44" s="5">
        <f t="shared" si="1"/>
        <v>3.7571538717176445E-2</v>
      </c>
      <c r="K44" s="13">
        <f t="shared" ca="1" si="2"/>
        <v>-0.75938588562188558</v>
      </c>
      <c r="M44">
        <f t="shared" ca="1" si="0"/>
        <v>797.10257747314097</v>
      </c>
    </row>
    <row r="45" spans="1:13" ht="22" x14ac:dyDescent="0.3">
      <c r="A45" s="21">
        <v>210</v>
      </c>
      <c r="B45" s="4" t="s">
        <v>141</v>
      </c>
      <c r="C45" s="5">
        <v>444.59800000000001</v>
      </c>
      <c r="D45" s="5">
        <v>343</v>
      </c>
      <c r="E45" s="5" t="s">
        <v>1483</v>
      </c>
      <c r="F45" s="5" t="s">
        <v>1484</v>
      </c>
      <c r="G45" s="5" t="s">
        <v>1485</v>
      </c>
      <c r="I45" s="5">
        <f t="shared" si="1"/>
        <v>-6.8635126170502048E-3</v>
      </c>
      <c r="K45" s="13">
        <f t="shared" ca="1" si="2"/>
        <v>-2.6815463324697584</v>
      </c>
      <c r="M45">
        <f t="shared" ca="1" si="0"/>
        <v>813.02236490128712</v>
      </c>
    </row>
    <row r="46" spans="1:13" ht="22" x14ac:dyDescent="0.3">
      <c r="A46" s="21">
        <v>209</v>
      </c>
      <c r="B46" s="4" t="s">
        <v>144</v>
      </c>
      <c r="C46" s="5">
        <v>447.66</v>
      </c>
      <c r="D46" s="5">
        <v>169</v>
      </c>
      <c r="E46" s="5" t="s">
        <v>1486</v>
      </c>
      <c r="F46" s="5" t="s">
        <v>1487</v>
      </c>
      <c r="G46" s="5" t="s">
        <v>1488</v>
      </c>
      <c r="I46" s="5">
        <f t="shared" si="1"/>
        <v>-1.5119892537393653E-2</v>
      </c>
      <c r="K46" s="13">
        <f t="shared" ca="1" si="2"/>
        <v>-1.0935655731123972</v>
      </c>
      <c r="M46">
        <f t="shared" ca="1" si="0"/>
        <v>871.07318103816658</v>
      </c>
    </row>
    <row r="47" spans="1:13" ht="22" x14ac:dyDescent="0.3">
      <c r="A47" s="21">
        <v>208</v>
      </c>
      <c r="B47" s="4" t="s">
        <v>148</v>
      </c>
      <c r="C47" s="5">
        <v>454.48</v>
      </c>
      <c r="D47" s="5">
        <v>194</v>
      </c>
      <c r="E47" s="5" t="s">
        <v>1489</v>
      </c>
      <c r="F47" s="5" t="s">
        <v>1490</v>
      </c>
      <c r="G47" s="5" t="s">
        <v>1489</v>
      </c>
      <c r="I47" s="5">
        <f t="shared" si="1"/>
        <v>1.4271394105332291E-2</v>
      </c>
      <c r="K47" s="13">
        <f t="shared" ca="1" si="2"/>
        <v>0.60618722624920029</v>
      </c>
      <c r="M47">
        <f t="shared" ca="1" si="0"/>
        <v>896.10141925646735</v>
      </c>
    </row>
    <row r="48" spans="1:13" ht="22" x14ac:dyDescent="0.3">
      <c r="A48" s="21">
        <v>207</v>
      </c>
      <c r="B48" s="4" t="s">
        <v>152</v>
      </c>
      <c r="C48" s="5">
        <v>448.04</v>
      </c>
      <c r="D48" s="5">
        <v>1225</v>
      </c>
      <c r="E48" s="5" t="s">
        <v>1491</v>
      </c>
      <c r="F48" s="5" t="s">
        <v>1492</v>
      </c>
      <c r="G48" s="5" t="s">
        <v>1491</v>
      </c>
      <c r="I48" s="5">
        <f t="shared" si="1"/>
        <v>-8.711166197506337E-3</v>
      </c>
      <c r="K48" s="13">
        <f t="shared" ca="1" si="2"/>
        <v>0.79391849060541042</v>
      </c>
      <c r="M48">
        <f t="shared" ca="1" si="0"/>
        <v>882.60781470648567</v>
      </c>
    </row>
    <row r="49" spans="1:13" ht="22" x14ac:dyDescent="0.3">
      <c r="A49" s="21">
        <v>206</v>
      </c>
      <c r="B49" s="6">
        <v>46357</v>
      </c>
      <c r="C49" s="5">
        <v>451.96</v>
      </c>
      <c r="D49" s="5">
        <v>611</v>
      </c>
      <c r="E49" s="5" t="s">
        <v>1461</v>
      </c>
      <c r="F49" s="5" t="s">
        <v>1461</v>
      </c>
      <c r="G49" s="5" t="s">
        <v>1493</v>
      </c>
      <c r="I49" s="5">
        <f t="shared" si="1"/>
        <v>5.012986564383759E-3</v>
      </c>
      <c r="K49" s="13">
        <f t="shared" ca="1" si="2"/>
        <v>2.0712018137382517</v>
      </c>
      <c r="M49">
        <f t="shared" ca="1" si="0"/>
        <v>865.15083382935802</v>
      </c>
    </row>
    <row r="50" spans="1:13" ht="22" x14ac:dyDescent="0.3">
      <c r="A50" s="21">
        <v>205</v>
      </c>
      <c r="B50" s="6">
        <v>46266</v>
      </c>
      <c r="C50" s="5">
        <v>449.7</v>
      </c>
      <c r="D50" s="5">
        <v>457</v>
      </c>
      <c r="E50" s="5" t="s">
        <v>1494</v>
      </c>
      <c r="F50" s="5" t="s">
        <v>1495</v>
      </c>
      <c r="G50" s="5" t="s">
        <v>1496</v>
      </c>
      <c r="I50" s="5">
        <f t="shared" si="1"/>
        <v>4.2936748494428301E-2</v>
      </c>
      <c r="K50" s="13">
        <f t="shared" ca="1" si="2"/>
        <v>-0.66796379240093673</v>
      </c>
      <c r="M50">
        <f t="shared" ca="1" si="0"/>
        <v>820.7662972580265</v>
      </c>
    </row>
    <row r="51" spans="1:13" ht="22" x14ac:dyDescent="0.3">
      <c r="A51" s="21">
        <v>204</v>
      </c>
      <c r="B51" s="6">
        <v>46235</v>
      </c>
      <c r="C51" s="5">
        <v>430.8</v>
      </c>
      <c r="D51" s="5">
        <v>606</v>
      </c>
      <c r="E51" s="5" t="s">
        <v>1497</v>
      </c>
      <c r="F51" s="5" t="s">
        <v>1498</v>
      </c>
      <c r="G51" s="5" t="s">
        <v>1499</v>
      </c>
      <c r="I51" s="5">
        <f t="shared" si="1"/>
        <v>2.7149169659468342E-3</v>
      </c>
      <c r="K51" s="13">
        <f t="shared" ca="1" si="2"/>
        <v>-0.15618944287098085</v>
      </c>
      <c r="M51">
        <f t="shared" ca="1" si="0"/>
        <v>835.20230106519568</v>
      </c>
    </row>
    <row r="52" spans="1:13" ht="22" x14ac:dyDescent="0.3">
      <c r="A52" s="21">
        <v>203</v>
      </c>
      <c r="B52" s="6">
        <v>46204</v>
      </c>
      <c r="C52" s="5">
        <v>429.63200000000001</v>
      </c>
      <c r="D52" s="5">
        <v>991</v>
      </c>
      <c r="E52" s="5" t="s">
        <v>1500</v>
      </c>
      <c r="F52" s="5" t="s">
        <v>1500</v>
      </c>
      <c r="G52" s="5" t="s">
        <v>1501</v>
      </c>
      <c r="I52" s="5">
        <f t="shared" si="1"/>
        <v>-7.3466992159847422E-3</v>
      </c>
      <c r="K52" s="13">
        <f t="shared" ca="1" si="2"/>
        <v>-1.1970982327693722</v>
      </c>
      <c r="M52">
        <f t="shared" ca="1" si="0"/>
        <v>838.83342683864885</v>
      </c>
    </row>
    <row r="53" spans="1:13" ht="22" x14ac:dyDescent="0.3">
      <c r="A53" s="21">
        <v>202</v>
      </c>
      <c r="B53" s="6">
        <v>46174</v>
      </c>
      <c r="C53" s="5">
        <v>432.8</v>
      </c>
      <c r="D53" s="5">
        <v>764</v>
      </c>
      <c r="E53" s="5" t="s">
        <v>1502</v>
      </c>
      <c r="F53" s="5" t="s">
        <v>1503</v>
      </c>
      <c r="G53" s="5" t="s">
        <v>1444</v>
      </c>
      <c r="I53" s="5">
        <f t="shared" si="1"/>
        <v>4.5182999444305594E-2</v>
      </c>
      <c r="K53" s="13">
        <f t="shared" ca="1" si="2"/>
        <v>-1.7715956973192302</v>
      </c>
      <c r="M53">
        <f t="shared" ca="1" si="0"/>
        <v>865.22481292553584</v>
      </c>
    </row>
    <row r="54" spans="1:13" ht="22" x14ac:dyDescent="0.3">
      <c r="A54" s="21">
        <v>201</v>
      </c>
      <c r="B54" s="6">
        <v>46143</v>
      </c>
      <c r="C54" s="5">
        <v>413.68</v>
      </c>
      <c r="D54" s="5">
        <v>625</v>
      </c>
      <c r="E54" s="5" t="s">
        <v>1444</v>
      </c>
      <c r="F54" s="5" t="s">
        <v>1504</v>
      </c>
      <c r="G54" s="5" t="s">
        <v>1505</v>
      </c>
      <c r="I54" s="5">
        <f t="shared" si="1"/>
        <v>-3.3478913546755251E-2</v>
      </c>
      <c r="K54" s="13">
        <f t="shared" ca="1" si="2"/>
        <v>3.0928724712363973</v>
      </c>
      <c r="M54">
        <f t="shared" ca="1" si="0"/>
        <v>905.66474164011436</v>
      </c>
    </row>
    <row r="55" spans="1:13" ht="22" x14ac:dyDescent="0.3">
      <c r="A55" s="21">
        <v>200</v>
      </c>
      <c r="B55" s="6">
        <v>46054</v>
      </c>
      <c r="C55" s="5">
        <v>427.76400000000001</v>
      </c>
      <c r="D55" s="5">
        <v>417</v>
      </c>
      <c r="E55" s="5" t="s">
        <v>1506</v>
      </c>
      <c r="F55" s="5" t="s">
        <v>1507</v>
      </c>
      <c r="G55" s="5" t="s">
        <v>1508</v>
      </c>
      <c r="I55" s="5">
        <f t="shared" si="1"/>
        <v>-3.6568001609213141E-2</v>
      </c>
      <c r="K55" s="13">
        <f t="shared" ca="1" si="2"/>
        <v>7.435597645160083E-2</v>
      </c>
      <c r="M55">
        <f t="shared" ca="1" si="0"/>
        <v>837.02759547787093</v>
      </c>
    </row>
    <row r="56" spans="1:13" ht="22" x14ac:dyDescent="0.3">
      <c r="A56" s="21">
        <v>199</v>
      </c>
      <c r="B56" s="4" t="s">
        <v>174</v>
      </c>
      <c r="C56" s="5">
        <v>443.69600000000003</v>
      </c>
      <c r="D56" s="5">
        <v>136</v>
      </c>
      <c r="E56" s="5" t="s">
        <v>1509</v>
      </c>
      <c r="F56" s="5" t="s">
        <v>1510</v>
      </c>
      <c r="G56" s="5" t="s">
        <v>1511</v>
      </c>
      <c r="I56" s="5">
        <f t="shared" si="1"/>
        <v>1.8357861729145775E-2</v>
      </c>
      <c r="K56" s="13">
        <f t="shared" ca="1" si="2"/>
        <v>2.0910955586456907</v>
      </c>
      <c r="M56">
        <f t="shared" ca="1" si="0"/>
        <v>835.72120760526377</v>
      </c>
    </row>
    <row r="57" spans="1:13" ht="22" x14ac:dyDescent="0.3">
      <c r="A57" s="21">
        <v>198</v>
      </c>
      <c r="B57" s="4" t="s">
        <v>178</v>
      </c>
      <c r="C57" s="5">
        <v>435.625</v>
      </c>
      <c r="D57" s="5">
        <v>330</v>
      </c>
      <c r="E57" s="5" t="s">
        <v>1512</v>
      </c>
      <c r="F57" s="5" t="s">
        <v>1513</v>
      </c>
      <c r="G57" s="5" t="s">
        <v>1514</v>
      </c>
      <c r="I57" s="5">
        <f t="shared" si="1"/>
        <v>1.5101111397159528E-2</v>
      </c>
      <c r="K57" s="13">
        <f t="shared" ca="1" si="2"/>
        <v>-2.0887919081518924</v>
      </c>
      <c r="M57">
        <f t="shared" ca="1" si="0"/>
        <v>792.4429355687929</v>
      </c>
    </row>
    <row r="58" spans="1:13" ht="22" x14ac:dyDescent="0.3">
      <c r="A58" s="21">
        <v>197</v>
      </c>
      <c r="B58" s="4" t="s">
        <v>182</v>
      </c>
      <c r="C58" s="5">
        <v>429.096</v>
      </c>
      <c r="D58" s="5">
        <v>438</v>
      </c>
      <c r="E58" s="5" t="s">
        <v>1515</v>
      </c>
      <c r="F58" s="5" t="s">
        <v>1516</v>
      </c>
      <c r="G58" s="5" t="s">
        <v>1517</v>
      </c>
      <c r="I58" s="5">
        <f t="shared" si="1"/>
        <v>3.9884043698386051E-3</v>
      </c>
      <c r="K58" s="13">
        <f t="shared" ca="1" si="2"/>
        <v>-7.1860476502677392E-2</v>
      </c>
      <c r="M58">
        <f t="shared" ca="1" si="0"/>
        <v>836.24199501129385</v>
      </c>
    </row>
    <row r="59" spans="1:13" ht="22" x14ac:dyDescent="0.3">
      <c r="A59" s="21">
        <v>196</v>
      </c>
      <c r="B59" s="4" t="s">
        <v>186</v>
      </c>
      <c r="C59" s="5">
        <v>427.38799999999998</v>
      </c>
      <c r="D59" s="5">
        <v>508</v>
      </c>
      <c r="E59" s="5" t="s">
        <v>1518</v>
      </c>
      <c r="F59" s="5" t="s">
        <v>1518</v>
      </c>
      <c r="G59" s="5" t="s">
        <v>1519</v>
      </c>
      <c r="I59" s="5">
        <f t="shared" si="1"/>
        <v>-3.2259228074845936E-2</v>
      </c>
      <c r="K59" s="13">
        <f t="shared" ca="1" si="2"/>
        <v>-0.16890442215581644</v>
      </c>
      <c r="M59">
        <f t="shared" ca="1" si="0"/>
        <v>838.06700872835825</v>
      </c>
    </row>
    <row r="60" spans="1:13" ht="22" x14ac:dyDescent="0.3">
      <c r="A60" s="21">
        <v>195</v>
      </c>
      <c r="B60" s="4" t="s">
        <v>190</v>
      </c>
      <c r="C60" s="5">
        <v>441.4</v>
      </c>
      <c r="D60" s="5">
        <v>119</v>
      </c>
      <c r="E60" s="5" t="s">
        <v>1520</v>
      </c>
      <c r="F60" s="5" t="s">
        <v>1521</v>
      </c>
      <c r="G60" s="5" t="s">
        <v>1520</v>
      </c>
      <c r="I60" s="5">
        <f t="shared" si="1"/>
        <v>3.7862324898219057E-2</v>
      </c>
      <c r="K60" s="13">
        <f t="shared" ca="1" si="2"/>
        <v>0.37393755298825976</v>
      </c>
      <c r="M60">
        <f t="shared" ca="1" si="0"/>
        <v>841.98452889239206</v>
      </c>
    </row>
    <row r="61" spans="1:13" ht="22" x14ac:dyDescent="0.3">
      <c r="A61" s="21">
        <v>194</v>
      </c>
      <c r="B61" s="4" t="s">
        <v>193</v>
      </c>
      <c r="C61" s="5">
        <v>425</v>
      </c>
      <c r="D61" s="5">
        <v>428</v>
      </c>
      <c r="E61" s="5" t="s">
        <v>1522</v>
      </c>
      <c r="F61" s="5" t="s">
        <v>1523</v>
      </c>
      <c r="G61" s="5" t="s">
        <v>1524</v>
      </c>
      <c r="I61" s="5">
        <f t="shared" si="1"/>
        <v>-5.3971737255622543E-3</v>
      </c>
      <c r="K61" s="13">
        <f t="shared" ca="1" si="2"/>
        <v>-0.36036373067554567</v>
      </c>
      <c r="M61">
        <f t="shared" ca="1" si="0"/>
        <v>834.24969418997807</v>
      </c>
    </row>
    <row r="62" spans="1:13" ht="22" x14ac:dyDescent="0.3">
      <c r="A62" s="21">
        <v>193</v>
      </c>
      <c r="B62" s="4" t="s">
        <v>196</v>
      </c>
      <c r="C62" s="5">
        <v>427.3</v>
      </c>
      <c r="D62" s="5">
        <v>328</v>
      </c>
      <c r="E62" s="5" t="s">
        <v>1525</v>
      </c>
      <c r="F62" s="5" t="s">
        <v>1521</v>
      </c>
      <c r="G62" s="5" t="s">
        <v>1526</v>
      </c>
      <c r="I62" s="5">
        <f t="shared" si="1"/>
        <v>-1.6561144545978124E-2</v>
      </c>
      <c r="K62" s="13">
        <f t="shared" ca="1" si="2"/>
        <v>1.0015359902074878</v>
      </c>
      <c r="M62">
        <f t="shared" ca="1" si="0"/>
        <v>842.2662516283068</v>
      </c>
    </row>
    <row r="63" spans="1:13" ht="22" x14ac:dyDescent="0.3">
      <c r="A63" s="21">
        <v>192</v>
      </c>
      <c r="B63" s="4" t="s">
        <v>199</v>
      </c>
      <c r="C63" s="5">
        <v>434.43549999999999</v>
      </c>
      <c r="D63" s="5">
        <v>645</v>
      </c>
      <c r="E63" s="5" t="s">
        <v>1474</v>
      </c>
      <c r="F63" s="5" t="s">
        <v>1527</v>
      </c>
      <c r="G63" s="5" t="s">
        <v>1528</v>
      </c>
      <c r="I63" s="5">
        <f t="shared" si="1"/>
        <v>-9.9962412051173288E-3</v>
      </c>
      <c r="K63" s="13">
        <f t="shared" ca="1" si="2"/>
        <v>1.5951724006830481</v>
      </c>
      <c r="M63">
        <f t="shared" ca="1" si="0"/>
        <v>821.23205927515528</v>
      </c>
    </row>
    <row r="64" spans="1:13" ht="22" x14ac:dyDescent="0.3">
      <c r="A64" s="21">
        <v>191</v>
      </c>
      <c r="B64" s="4" t="s">
        <v>202</v>
      </c>
      <c r="C64" s="5">
        <v>438.8</v>
      </c>
      <c r="D64" s="5">
        <v>476</v>
      </c>
      <c r="E64" s="5" t="s">
        <v>1529</v>
      </c>
      <c r="F64" s="5" t="s">
        <v>1530</v>
      </c>
      <c r="G64" s="5" t="s">
        <v>1531</v>
      </c>
      <c r="I64" s="5">
        <f t="shared" si="1"/>
        <v>-4.9582889845201095E-3</v>
      </c>
      <c r="K64" s="13">
        <f t="shared" ca="1" si="2"/>
        <v>1.1905172278349623</v>
      </c>
      <c r="M64">
        <f t="shared" ca="1" si="0"/>
        <v>788.65019099846779</v>
      </c>
    </row>
    <row r="65" spans="1:13" ht="22" x14ac:dyDescent="0.3">
      <c r="A65" s="21">
        <v>190</v>
      </c>
      <c r="B65" s="4" t="s">
        <v>206</v>
      </c>
      <c r="C65" s="5">
        <v>440.98110000000003</v>
      </c>
      <c r="D65" s="5">
        <v>460</v>
      </c>
      <c r="E65" s="5" t="s">
        <v>1532</v>
      </c>
      <c r="F65" s="5" t="s">
        <v>1533</v>
      </c>
      <c r="G65" s="5" t="s">
        <v>1532</v>
      </c>
      <c r="I65" s="5">
        <f t="shared" si="1"/>
        <v>1.6648966544274835E-2</v>
      </c>
      <c r="K65" s="13">
        <f t="shared" ca="1" si="2"/>
        <v>-1.0607575240614626</v>
      </c>
      <c r="M65">
        <f t="shared" ca="1" si="0"/>
        <v>765.24495397020883</v>
      </c>
    </row>
    <row r="66" spans="1:13" ht="22" x14ac:dyDescent="0.3">
      <c r="A66" s="21">
        <v>189</v>
      </c>
      <c r="B66" s="4" t="s">
        <v>209</v>
      </c>
      <c r="C66" s="5">
        <v>433.7</v>
      </c>
      <c r="D66" s="5">
        <v>933</v>
      </c>
      <c r="E66" s="5" t="s">
        <v>1534</v>
      </c>
      <c r="F66" s="5" t="s">
        <v>1535</v>
      </c>
      <c r="G66" s="5" t="s">
        <v>1536</v>
      </c>
      <c r="I66" s="5">
        <f t="shared" si="1"/>
        <v>-2.664215545869375E-2</v>
      </c>
      <c r="K66" s="13">
        <f t="shared" ca="1" si="2"/>
        <v>1.0928645766527034</v>
      </c>
      <c r="M66">
        <f t="shared" ca="1" si="0"/>
        <v>786.571762855006</v>
      </c>
    </row>
    <row r="67" spans="1:13" ht="22" x14ac:dyDescent="0.3">
      <c r="A67" s="21">
        <v>188</v>
      </c>
      <c r="B67" s="4" t="s">
        <v>213</v>
      </c>
      <c r="C67" s="5">
        <v>445.41</v>
      </c>
      <c r="D67" s="5">
        <v>695</v>
      </c>
      <c r="E67" s="5" t="s">
        <v>1397</v>
      </c>
      <c r="F67" s="5" t="s">
        <v>1537</v>
      </c>
      <c r="G67" s="5" t="s">
        <v>1397</v>
      </c>
      <c r="I67" s="5">
        <f t="shared" si="1"/>
        <v>4.4790629370845991E-2</v>
      </c>
      <c r="K67" s="13">
        <f t="shared" ca="1" si="2"/>
        <v>0.35087872924826369</v>
      </c>
      <c r="M67">
        <f t="shared" ca="1" si="0"/>
        <v>765.13800574915069</v>
      </c>
    </row>
    <row r="68" spans="1:13" ht="22" x14ac:dyDescent="0.3">
      <c r="A68" s="21">
        <v>187</v>
      </c>
      <c r="B68" s="6">
        <v>46003</v>
      </c>
      <c r="C68" s="5">
        <v>425.9</v>
      </c>
      <c r="D68" s="5">
        <v>151</v>
      </c>
      <c r="E68" s="5" t="s">
        <v>1538</v>
      </c>
      <c r="F68" s="5" t="s">
        <v>1539</v>
      </c>
      <c r="G68" s="5" t="s">
        <v>1540</v>
      </c>
      <c r="I68" s="5">
        <f t="shared" si="1"/>
        <v>-8.6313441181662398E-3</v>
      </c>
      <c r="K68" s="13">
        <f t="shared" ca="1" si="2"/>
        <v>-0.62465824906764233</v>
      </c>
      <c r="M68">
        <f t="shared" ref="M68:M131" ca="1" si="3">M69*EXP((($P$3-$P$4/2)+$P$5*K68))</f>
        <v>758.55662679087106</v>
      </c>
    </row>
    <row r="69" spans="1:13" ht="22" x14ac:dyDescent="0.3">
      <c r="A69" s="21">
        <v>186</v>
      </c>
      <c r="B69" s="6">
        <v>45973</v>
      </c>
      <c r="C69" s="5">
        <v>429.59199999999998</v>
      </c>
      <c r="D69" s="5">
        <v>450</v>
      </c>
      <c r="E69" s="5" t="s">
        <v>1541</v>
      </c>
      <c r="F69" s="5" t="s">
        <v>1542</v>
      </c>
      <c r="G69" s="5" t="s">
        <v>1543</v>
      </c>
      <c r="I69" s="5">
        <f t="shared" ref="I69:I132" si="4">LN(C69)-LN(C70)</f>
        <v>-1.434750146318553E-2</v>
      </c>
      <c r="K69" s="13">
        <f t="shared" ref="K69:K132" ca="1" si="5">_xlfn.NORM.S.INV(RAND())</f>
        <v>-0.26271827841875695</v>
      </c>
      <c r="M69">
        <f t="shared" ca="1" si="3"/>
        <v>771.04345341818123</v>
      </c>
    </row>
    <row r="70" spans="1:13" ht="22" x14ac:dyDescent="0.3">
      <c r="A70" s="21">
        <v>185</v>
      </c>
      <c r="B70" s="6">
        <v>45942</v>
      </c>
      <c r="C70" s="5">
        <v>435.8</v>
      </c>
      <c r="D70" s="5">
        <v>1064</v>
      </c>
      <c r="E70" s="5" t="s">
        <v>1544</v>
      </c>
      <c r="F70" s="5" t="s">
        <v>1541</v>
      </c>
      <c r="G70" s="5" t="s">
        <v>1545</v>
      </c>
      <c r="I70" s="5">
        <f t="shared" si="4"/>
        <v>3.178482089329826E-2</v>
      </c>
      <c r="K70" s="13">
        <f t="shared" ca="1" si="5"/>
        <v>1.1384626442760579</v>
      </c>
      <c r="M70">
        <f t="shared" ca="1" si="3"/>
        <v>776.50975530749474</v>
      </c>
    </row>
    <row r="71" spans="1:13" ht="22" x14ac:dyDescent="0.3">
      <c r="A71" s="21">
        <v>184</v>
      </c>
      <c r="B71" s="6">
        <v>45912</v>
      </c>
      <c r="C71" s="5">
        <v>422.166</v>
      </c>
      <c r="D71" s="5">
        <v>384</v>
      </c>
      <c r="E71" s="5" t="s">
        <v>1546</v>
      </c>
      <c r="F71" s="5" t="s">
        <v>1547</v>
      </c>
      <c r="G71" s="5" t="s">
        <v>1548</v>
      </c>
      <c r="I71" s="5">
        <f t="shared" si="4"/>
        <v>-8.7615977130468536E-3</v>
      </c>
      <c r="K71" s="13">
        <f t="shared" ca="1" si="5"/>
        <v>1.752960497415218</v>
      </c>
      <c r="M71">
        <f t="shared" ca="1" si="3"/>
        <v>754.46924158890124</v>
      </c>
    </row>
    <row r="72" spans="1:13" ht="22" x14ac:dyDescent="0.3">
      <c r="A72" s="21">
        <v>183</v>
      </c>
      <c r="B72" s="6">
        <v>45881</v>
      </c>
      <c r="C72" s="5">
        <v>425.8811</v>
      </c>
      <c r="D72" s="5">
        <v>12471</v>
      </c>
      <c r="E72" s="5" t="s">
        <v>1498</v>
      </c>
      <c r="F72" s="5" t="s">
        <v>1498</v>
      </c>
      <c r="G72" s="5" t="s">
        <v>1549</v>
      </c>
      <c r="I72" s="5">
        <f t="shared" si="4"/>
        <v>-1.1479103415655167E-2</v>
      </c>
      <c r="K72" s="13">
        <f t="shared" ca="1" si="5"/>
        <v>-0.5397612503254744</v>
      </c>
      <c r="M72">
        <f t="shared" ca="1" si="3"/>
        <v>721.61627494530524</v>
      </c>
    </row>
    <row r="73" spans="1:13" ht="22" x14ac:dyDescent="0.3">
      <c r="A73" s="21">
        <v>182</v>
      </c>
      <c r="B73" s="6">
        <v>45789</v>
      </c>
      <c r="C73" s="5">
        <v>430.798</v>
      </c>
      <c r="D73" s="5">
        <v>554</v>
      </c>
      <c r="E73" s="5" t="s">
        <v>1550</v>
      </c>
      <c r="F73" s="5" t="s">
        <v>1460</v>
      </c>
      <c r="G73" s="5" t="s">
        <v>1550</v>
      </c>
      <c r="I73" s="5">
        <f t="shared" si="4"/>
        <v>-3.0680632464439306E-2</v>
      </c>
      <c r="K73" s="13">
        <f t="shared" ca="1" si="5"/>
        <v>-1.3123891512249808</v>
      </c>
      <c r="M73">
        <f t="shared" ca="1" si="3"/>
        <v>731.90308605296559</v>
      </c>
    </row>
    <row r="74" spans="1:13" ht="22" x14ac:dyDescent="0.3">
      <c r="A74" s="21">
        <v>181</v>
      </c>
      <c r="B74" s="6">
        <v>45759</v>
      </c>
      <c r="C74" s="5">
        <v>444.22</v>
      </c>
      <c r="D74" s="5">
        <v>246</v>
      </c>
      <c r="E74" s="5" t="s">
        <v>1551</v>
      </c>
      <c r="F74" s="5" t="s">
        <v>1552</v>
      </c>
      <c r="G74" s="5" t="s">
        <v>1553</v>
      </c>
      <c r="I74" s="5">
        <f t="shared" si="4"/>
        <v>9.7270430108036265E-3</v>
      </c>
      <c r="K74" s="13">
        <f t="shared" ca="1" si="5"/>
        <v>-0.3171332163355563</v>
      </c>
      <c r="M74">
        <f t="shared" ca="1" si="3"/>
        <v>757.16096771771879</v>
      </c>
    </row>
    <row r="75" spans="1:13" ht="22" x14ac:dyDescent="0.3">
      <c r="A75" s="21">
        <v>180</v>
      </c>
      <c r="B75" s="6">
        <v>45728</v>
      </c>
      <c r="C75" s="5">
        <v>439.92</v>
      </c>
      <c r="D75" s="5">
        <v>1557</v>
      </c>
      <c r="E75" s="5" t="s">
        <v>1554</v>
      </c>
      <c r="F75" s="5" t="s">
        <v>1554</v>
      </c>
      <c r="G75" s="5" t="s">
        <v>1555</v>
      </c>
      <c r="I75" s="5">
        <f t="shared" si="4"/>
        <v>-2.6956535458659836E-2</v>
      </c>
      <c r="K75" s="13">
        <f t="shared" ca="1" si="5"/>
        <v>-0.11822623644775324</v>
      </c>
      <c r="M75">
        <f t="shared" ca="1" si="3"/>
        <v>763.59148182758599</v>
      </c>
    </row>
    <row r="76" spans="1:13" ht="22" x14ac:dyDescent="0.3">
      <c r="A76" s="21">
        <v>179</v>
      </c>
      <c r="B76" s="6">
        <v>45700</v>
      </c>
      <c r="C76" s="5">
        <v>451.94</v>
      </c>
      <c r="D76" s="5">
        <v>242</v>
      </c>
      <c r="E76" s="5" t="s">
        <v>1556</v>
      </c>
      <c r="F76" s="5" t="s">
        <v>1557</v>
      </c>
      <c r="G76" s="5" t="s">
        <v>1558</v>
      </c>
      <c r="I76" s="5">
        <f t="shared" si="4"/>
        <v>-8.8468179344669551E-4</v>
      </c>
      <c r="K76" s="13">
        <f t="shared" ca="1" si="5"/>
        <v>-0.38047647701533116</v>
      </c>
      <c r="M76">
        <f t="shared" ca="1" si="3"/>
        <v>766.16653516640281</v>
      </c>
    </row>
    <row r="77" spans="1:13" ht="22" x14ac:dyDescent="0.3">
      <c r="A77" s="21">
        <v>178</v>
      </c>
      <c r="B77" s="6">
        <v>45669</v>
      </c>
      <c r="C77" s="5">
        <v>452.34</v>
      </c>
      <c r="D77" s="5">
        <v>528</v>
      </c>
      <c r="E77" s="5" t="s">
        <v>1559</v>
      </c>
      <c r="F77" s="5" t="s">
        <v>1560</v>
      </c>
      <c r="G77" s="5" t="s">
        <v>1559</v>
      </c>
      <c r="I77" s="5">
        <f t="shared" si="4"/>
        <v>1.1830773109716475E-2</v>
      </c>
      <c r="K77" s="13">
        <f t="shared" ca="1" si="5"/>
        <v>0.54525139633759212</v>
      </c>
      <c r="M77">
        <f t="shared" ca="1" si="3"/>
        <v>773.92712002624683</v>
      </c>
    </row>
    <row r="78" spans="1:13" ht="22" x14ac:dyDescent="0.3">
      <c r="A78" s="21">
        <v>177</v>
      </c>
      <c r="B78" s="4" t="s">
        <v>236</v>
      </c>
      <c r="C78" s="5">
        <v>447.02</v>
      </c>
      <c r="D78" s="5">
        <v>175</v>
      </c>
      <c r="E78" s="5" t="s">
        <v>1561</v>
      </c>
      <c r="F78" s="5" t="s">
        <v>1562</v>
      </c>
      <c r="G78" s="5" t="s">
        <v>1563</v>
      </c>
      <c r="I78" s="5">
        <f t="shared" si="4"/>
        <v>4.4653726338650834E-2</v>
      </c>
      <c r="K78" s="13">
        <f t="shared" ca="1" si="5"/>
        <v>-1.5290055690025721</v>
      </c>
      <c r="M78">
        <f t="shared" ca="1" si="3"/>
        <v>763.46290529335556</v>
      </c>
    </row>
    <row r="79" spans="1:13" ht="22" x14ac:dyDescent="0.3">
      <c r="A79" s="21">
        <v>176</v>
      </c>
      <c r="B79" s="4" t="s">
        <v>239</v>
      </c>
      <c r="C79" s="5">
        <v>427.49799999999999</v>
      </c>
      <c r="D79" s="5">
        <v>1607</v>
      </c>
      <c r="E79" s="5" t="s">
        <v>1504</v>
      </c>
      <c r="F79" s="5" t="s">
        <v>1564</v>
      </c>
      <c r="G79" s="5" t="s">
        <v>1565</v>
      </c>
      <c r="I79" s="5">
        <f t="shared" si="4"/>
        <v>1.8981440251349291E-2</v>
      </c>
      <c r="K79" s="13">
        <f t="shared" ca="1" si="5"/>
        <v>0.96007557699478219</v>
      </c>
      <c r="M79">
        <f t="shared" ca="1" si="3"/>
        <v>794.20051660430192</v>
      </c>
    </row>
    <row r="80" spans="1:13" ht="22" x14ac:dyDescent="0.3">
      <c r="A80" s="21">
        <v>175</v>
      </c>
      <c r="B80" s="4" t="s">
        <v>242</v>
      </c>
      <c r="C80" s="5">
        <v>419.46</v>
      </c>
      <c r="D80" s="5">
        <v>2193</v>
      </c>
      <c r="E80" s="5" t="s">
        <v>1566</v>
      </c>
      <c r="F80" s="5" t="s">
        <v>1567</v>
      </c>
      <c r="G80" s="5" t="s">
        <v>1568</v>
      </c>
      <c r="I80" s="5">
        <f t="shared" si="4"/>
        <v>1.9854723449546086E-3</v>
      </c>
      <c r="K80" s="13">
        <f t="shared" ca="1" si="5"/>
        <v>2.1346083764148993</v>
      </c>
      <c r="M80">
        <f t="shared" ca="1" si="3"/>
        <v>775.18877065964682</v>
      </c>
    </row>
    <row r="81" spans="1:13" ht="22" x14ac:dyDescent="0.3">
      <c r="A81" s="21">
        <v>174</v>
      </c>
      <c r="B81" s="4" t="s">
        <v>246</v>
      </c>
      <c r="C81" s="5">
        <v>418.62799999999999</v>
      </c>
      <c r="D81" s="5">
        <v>224</v>
      </c>
      <c r="E81" s="5" t="s">
        <v>1569</v>
      </c>
      <c r="F81" s="5" t="s">
        <v>1569</v>
      </c>
      <c r="G81" s="5" t="s">
        <v>1570</v>
      </c>
      <c r="I81" s="5">
        <f t="shared" si="4"/>
        <v>1.4673767004031113E-2</v>
      </c>
      <c r="K81" s="13">
        <f t="shared" ca="1" si="5"/>
        <v>0.59072963970825865</v>
      </c>
      <c r="M81">
        <f t="shared" ca="1" si="3"/>
        <v>734.22712398987733</v>
      </c>
    </row>
    <row r="82" spans="1:13" ht="22" x14ac:dyDescent="0.3">
      <c r="A82" s="21">
        <v>173</v>
      </c>
      <c r="B82" s="4" t="s">
        <v>249</v>
      </c>
      <c r="C82" s="5">
        <v>412.53</v>
      </c>
      <c r="D82" s="5">
        <v>379</v>
      </c>
      <c r="E82" s="5" t="s">
        <v>1571</v>
      </c>
      <c r="F82" s="5" t="s">
        <v>1572</v>
      </c>
      <c r="G82" s="5" t="s">
        <v>1573</v>
      </c>
      <c r="I82" s="5">
        <f t="shared" si="4"/>
        <v>-9.8175984239086134E-3</v>
      </c>
      <c r="K82" s="13">
        <f t="shared" ca="1" si="5"/>
        <v>-1.0199219832083435</v>
      </c>
      <c r="M82">
        <f t="shared" ca="1" si="3"/>
        <v>723.45717973341232</v>
      </c>
    </row>
    <row r="83" spans="1:13" ht="22" x14ac:dyDescent="0.3">
      <c r="A83" s="21">
        <v>172</v>
      </c>
      <c r="B83" s="4" t="s">
        <v>253</v>
      </c>
      <c r="C83" s="5">
        <v>416.6</v>
      </c>
      <c r="D83" s="5">
        <v>436</v>
      </c>
      <c r="E83" s="5" t="s">
        <v>1574</v>
      </c>
      <c r="F83" s="5" t="s">
        <v>1575</v>
      </c>
      <c r="G83" s="5" t="s">
        <v>1576</v>
      </c>
      <c r="I83" s="5">
        <f t="shared" si="4"/>
        <v>2.9740587846600164E-2</v>
      </c>
      <c r="K83" s="13">
        <f t="shared" ca="1" si="5"/>
        <v>0.61866337554062012</v>
      </c>
      <c r="M83">
        <f t="shared" ca="1" si="3"/>
        <v>742.84266788916818</v>
      </c>
    </row>
    <row r="84" spans="1:13" ht="22" x14ac:dyDescent="0.3">
      <c r="A84" s="21">
        <v>171</v>
      </c>
      <c r="B84" s="4" t="s">
        <v>256</v>
      </c>
      <c r="C84" s="5">
        <v>404.39249999999998</v>
      </c>
      <c r="D84" s="5">
        <v>737</v>
      </c>
      <c r="E84" s="5" t="s">
        <v>1577</v>
      </c>
      <c r="F84" s="5" t="s">
        <v>1577</v>
      </c>
      <c r="G84" s="5" t="s">
        <v>1578</v>
      </c>
      <c r="I84" s="5">
        <f t="shared" si="4"/>
        <v>-5.78821969065757E-3</v>
      </c>
      <c r="K84" s="13">
        <f t="shared" ca="1" si="5"/>
        <v>0.57486591714828905</v>
      </c>
      <c r="M84">
        <f t="shared" ca="1" si="3"/>
        <v>731.42327822683092</v>
      </c>
    </row>
    <row r="85" spans="1:13" ht="22" x14ac:dyDescent="0.3">
      <c r="A85" s="21">
        <v>170</v>
      </c>
      <c r="B85" s="4" t="s">
        <v>260</v>
      </c>
      <c r="C85" s="5">
        <v>406.74</v>
      </c>
      <c r="D85" s="5">
        <v>279</v>
      </c>
      <c r="E85" s="5" t="s">
        <v>1579</v>
      </c>
      <c r="F85" s="5" t="s">
        <v>1580</v>
      </c>
      <c r="G85" s="5" t="s">
        <v>1578</v>
      </c>
      <c r="I85" s="5">
        <f t="shared" si="4"/>
        <v>-3.48509372257233E-3</v>
      </c>
      <c r="K85" s="13">
        <f t="shared" ca="1" si="5"/>
        <v>0.60376950934962348</v>
      </c>
      <c r="M85">
        <f t="shared" ca="1" si="3"/>
        <v>720.98711322732208</v>
      </c>
    </row>
    <row r="86" spans="1:13" ht="22" x14ac:dyDescent="0.3">
      <c r="A86" s="21">
        <v>169</v>
      </c>
      <c r="B86" s="4" t="s">
        <v>262</v>
      </c>
      <c r="C86" s="5">
        <v>408.16</v>
      </c>
      <c r="D86" s="5">
        <v>977</v>
      </c>
      <c r="E86" s="5" t="s">
        <v>1581</v>
      </c>
      <c r="F86" s="5" t="s">
        <v>1582</v>
      </c>
      <c r="G86" s="5" t="s">
        <v>1583</v>
      </c>
      <c r="I86" s="5">
        <f t="shared" si="4"/>
        <v>-6.4472236609018907E-3</v>
      </c>
      <c r="K86" s="13">
        <f t="shared" ca="1" si="5"/>
        <v>-0.12930608505666694</v>
      </c>
      <c r="M86">
        <f t="shared" ca="1" si="3"/>
        <v>710.174341569391</v>
      </c>
    </row>
    <row r="87" spans="1:13" ht="22" x14ac:dyDescent="0.3">
      <c r="A87" s="21">
        <v>168</v>
      </c>
      <c r="B87" s="4" t="s">
        <v>264</v>
      </c>
      <c r="C87" s="5">
        <v>410.8</v>
      </c>
      <c r="D87" s="5">
        <v>334</v>
      </c>
      <c r="E87" s="5" t="s">
        <v>1584</v>
      </c>
      <c r="F87" s="5" t="s">
        <v>1585</v>
      </c>
      <c r="G87" s="5" t="s">
        <v>1586</v>
      </c>
      <c r="I87" s="5">
        <f t="shared" si="4"/>
        <v>-3.1155167779795434E-2</v>
      </c>
      <c r="K87" s="13">
        <f t="shared" ca="1" si="5"/>
        <v>-0.63655714841566169</v>
      </c>
      <c r="M87">
        <f t="shared" ca="1" si="3"/>
        <v>712.77133911838484</v>
      </c>
    </row>
    <row r="88" spans="1:13" ht="22" x14ac:dyDescent="0.3">
      <c r="A88" s="21">
        <v>167</v>
      </c>
      <c r="B88" s="4" t="s">
        <v>267</v>
      </c>
      <c r="C88" s="5">
        <v>423.8</v>
      </c>
      <c r="D88" s="5">
        <v>380</v>
      </c>
      <c r="E88" s="5" t="s">
        <v>1587</v>
      </c>
      <c r="F88" s="5" t="s">
        <v>1588</v>
      </c>
      <c r="G88" s="5" t="s">
        <v>1571</v>
      </c>
      <c r="I88" s="5">
        <f t="shared" si="4"/>
        <v>2.465854639384979E-2</v>
      </c>
      <c r="K88" s="13">
        <f t="shared" ca="1" si="5"/>
        <v>-0.3246252213644864</v>
      </c>
      <c r="M88">
        <f t="shared" ca="1" si="3"/>
        <v>724.72513864677296</v>
      </c>
    </row>
    <row r="89" spans="1:13" ht="22" x14ac:dyDescent="0.3">
      <c r="A89" s="21">
        <v>166</v>
      </c>
      <c r="B89" s="6">
        <v>46002</v>
      </c>
      <c r="C89" s="5">
        <v>413.47750000000002</v>
      </c>
      <c r="D89" s="5">
        <v>395</v>
      </c>
      <c r="E89" s="5" t="s">
        <v>1589</v>
      </c>
      <c r="F89" s="5" t="s">
        <v>1589</v>
      </c>
      <c r="G89" s="5" t="s">
        <v>1590</v>
      </c>
      <c r="I89" s="5">
        <f t="shared" si="4"/>
        <v>1.0586588689553977E-3</v>
      </c>
      <c r="K89" s="13">
        <f t="shared" ca="1" si="5"/>
        <v>-1.3251986185839129</v>
      </c>
      <c r="M89">
        <f t="shared" ca="1" si="3"/>
        <v>731.02032717956558</v>
      </c>
    </row>
    <row r="90" spans="1:13" ht="22" x14ac:dyDescent="0.3">
      <c r="A90" s="21">
        <v>165</v>
      </c>
      <c r="B90" s="6">
        <v>45972</v>
      </c>
      <c r="C90" s="5">
        <v>413.04</v>
      </c>
      <c r="D90" s="5">
        <v>370</v>
      </c>
      <c r="E90" s="5" t="s">
        <v>1591</v>
      </c>
      <c r="F90" s="5" t="s">
        <v>1592</v>
      </c>
      <c r="G90" s="5" t="s">
        <v>1593</v>
      </c>
      <c r="I90" s="5">
        <f t="shared" si="4"/>
        <v>-7.4292396313007103E-3</v>
      </c>
      <c r="K90" s="13">
        <f t="shared" ca="1" si="5"/>
        <v>0.19470437612476491</v>
      </c>
      <c r="M90">
        <f t="shared" ca="1" si="3"/>
        <v>756.49569965436262</v>
      </c>
    </row>
    <row r="91" spans="1:13" ht="22" x14ac:dyDescent="0.3">
      <c r="A91" s="21">
        <v>164</v>
      </c>
      <c r="B91" s="6">
        <v>45941</v>
      </c>
      <c r="C91" s="5">
        <v>416.12</v>
      </c>
      <c r="D91" s="5">
        <v>452</v>
      </c>
      <c r="E91" s="5" t="s">
        <v>1594</v>
      </c>
      <c r="F91" s="5" t="s">
        <v>1594</v>
      </c>
      <c r="G91" s="5" t="s">
        <v>1595</v>
      </c>
      <c r="I91" s="5">
        <f t="shared" si="4"/>
        <v>1.9706505798533058E-2</v>
      </c>
      <c r="K91" s="13">
        <f t="shared" ca="1" si="5"/>
        <v>-9.1592527820471212E-2</v>
      </c>
      <c r="M91">
        <f t="shared" ca="1" si="3"/>
        <v>752.99223384743561</v>
      </c>
    </row>
    <row r="92" spans="1:13" ht="22" x14ac:dyDescent="0.3">
      <c r="A92" s="21">
        <v>163</v>
      </c>
      <c r="B92" s="6">
        <v>45849</v>
      </c>
      <c r="C92" s="5">
        <v>408</v>
      </c>
      <c r="D92" s="5">
        <v>199</v>
      </c>
      <c r="E92" s="5" t="s">
        <v>1596</v>
      </c>
      <c r="F92" s="5" t="s">
        <v>1596</v>
      </c>
      <c r="G92" s="5" t="s">
        <v>1597</v>
      </c>
      <c r="I92" s="5">
        <f t="shared" si="4"/>
        <v>-5.6360483833159947E-3</v>
      </c>
      <c r="K92" s="13">
        <f t="shared" ca="1" si="5"/>
        <v>0.31750797258733371</v>
      </c>
      <c r="M92">
        <f t="shared" ca="1" si="3"/>
        <v>755.01673903305084</v>
      </c>
    </row>
    <row r="93" spans="1:13" ht="22" x14ac:dyDescent="0.3">
      <c r="A93" s="21">
        <v>162</v>
      </c>
      <c r="B93" s="6">
        <v>45819</v>
      </c>
      <c r="C93" s="5">
        <v>410.30599999999998</v>
      </c>
      <c r="D93" s="5">
        <v>320</v>
      </c>
      <c r="E93" s="5" t="s">
        <v>1598</v>
      </c>
      <c r="F93" s="5" t="s">
        <v>1599</v>
      </c>
      <c r="G93" s="5" t="s">
        <v>1600</v>
      </c>
      <c r="I93" s="5">
        <f t="shared" si="4"/>
        <v>-3.9224837646226973E-2</v>
      </c>
      <c r="K93" s="13">
        <f t="shared" ca="1" si="5"/>
        <v>-0.51267131637163721</v>
      </c>
      <c r="M93">
        <f t="shared" ca="1" si="3"/>
        <v>749.16195081520914</v>
      </c>
    </row>
    <row r="94" spans="1:13" ht="22" x14ac:dyDescent="0.3">
      <c r="A94" s="21">
        <v>161</v>
      </c>
      <c r="B94" s="6">
        <v>45788</v>
      </c>
      <c r="C94" s="5">
        <v>426.72</v>
      </c>
      <c r="D94" s="5">
        <v>697</v>
      </c>
      <c r="E94" s="5" t="s">
        <v>1601</v>
      </c>
      <c r="F94" s="5" t="s">
        <v>1601</v>
      </c>
      <c r="G94" s="5" t="s">
        <v>1602</v>
      </c>
      <c r="I94" s="5">
        <f t="shared" si="4"/>
        <v>5.4799293056921883E-3</v>
      </c>
      <c r="K94" s="13">
        <f t="shared" ca="1" si="5"/>
        <v>1.3799828451890261</v>
      </c>
      <c r="M94">
        <f t="shared" ca="1" si="3"/>
        <v>759.31482536055171</v>
      </c>
    </row>
    <row r="95" spans="1:13" ht="22" x14ac:dyDescent="0.3">
      <c r="A95" s="21">
        <v>160</v>
      </c>
      <c r="B95" s="6">
        <v>45758</v>
      </c>
      <c r="C95" s="5">
        <v>424.38799999999998</v>
      </c>
      <c r="D95" s="5">
        <v>563</v>
      </c>
      <c r="E95" s="5" t="s">
        <v>1603</v>
      </c>
      <c r="F95" s="5" t="s">
        <v>1604</v>
      </c>
      <c r="G95" s="5" t="s">
        <v>1605</v>
      </c>
      <c r="I95" s="5">
        <f t="shared" si="4"/>
        <v>1.8384309757878192E-2</v>
      </c>
      <c r="K95" s="13">
        <f t="shared" ca="1" si="5"/>
        <v>0.87557925813048498</v>
      </c>
      <c r="M95">
        <f t="shared" ca="1" si="3"/>
        <v>733.21632115120974</v>
      </c>
    </row>
    <row r="96" spans="1:13" ht="22" x14ac:dyDescent="0.3">
      <c r="A96" s="21">
        <v>159</v>
      </c>
      <c r="B96" s="6">
        <v>45727</v>
      </c>
      <c r="C96" s="5">
        <v>416.65719999999999</v>
      </c>
      <c r="D96" s="5">
        <v>626</v>
      </c>
      <c r="E96" s="5" t="s">
        <v>1606</v>
      </c>
      <c r="F96" s="5" t="s">
        <v>1607</v>
      </c>
      <c r="G96" s="5" t="s">
        <v>1608</v>
      </c>
      <c r="I96" s="5">
        <f t="shared" si="4"/>
        <v>-3.4725550824093787E-2</v>
      </c>
      <c r="K96" s="13">
        <f t="shared" ca="1" si="5"/>
        <v>0.24810046613412956</v>
      </c>
      <c r="M96">
        <f t="shared" ca="1" si="3"/>
        <v>717.21368312705431</v>
      </c>
    </row>
    <row r="97" spans="1:13" ht="22" x14ac:dyDescent="0.3">
      <c r="A97" s="21">
        <v>158</v>
      </c>
      <c r="B97" s="4" t="s">
        <v>292</v>
      </c>
      <c r="C97" s="5">
        <v>431.38</v>
      </c>
      <c r="D97" s="5">
        <v>282</v>
      </c>
      <c r="E97" s="5" t="s">
        <v>1609</v>
      </c>
      <c r="F97" s="5" t="s">
        <v>1610</v>
      </c>
      <c r="G97" s="5" t="s">
        <v>1611</v>
      </c>
      <c r="I97" s="5">
        <f t="shared" si="4"/>
        <v>-1.9548963143428466E-2</v>
      </c>
      <c r="K97" s="13">
        <f t="shared" ca="1" si="5"/>
        <v>0.97168253864557275</v>
      </c>
      <c r="M97">
        <f t="shared" ca="1" si="3"/>
        <v>712.91725886629195</v>
      </c>
    </row>
    <row r="98" spans="1:13" ht="22" x14ac:dyDescent="0.3">
      <c r="A98" s="21">
        <v>157</v>
      </c>
      <c r="B98" s="4" t="s">
        <v>294</v>
      </c>
      <c r="C98" s="5">
        <v>439.89600000000002</v>
      </c>
      <c r="D98" s="5">
        <v>279</v>
      </c>
      <c r="E98" s="5" t="s">
        <v>1471</v>
      </c>
      <c r="F98" s="5" t="s">
        <v>1612</v>
      </c>
      <c r="G98" s="5" t="s">
        <v>1613</v>
      </c>
      <c r="I98" s="5">
        <f t="shared" si="4"/>
        <v>-8.3280459413348495E-4</v>
      </c>
      <c r="K98" s="13">
        <f t="shared" ca="1" si="5"/>
        <v>0.50448411178495767</v>
      </c>
      <c r="M98">
        <f t="shared" ca="1" si="3"/>
        <v>695.64461980425108</v>
      </c>
    </row>
    <row r="99" spans="1:13" ht="22" x14ac:dyDescent="0.3">
      <c r="A99" s="21">
        <v>156</v>
      </c>
      <c r="B99" s="4" t="s">
        <v>298</v>
      </c>
      <c r="C99" s="5">
        <v>440.26249999999999</v>
      </c>
      <c r="D99" s="5">
        <v>412</v>
      </c>
      <c r="E99" s="5" t="s">
        <v>1614</v>
      </c>
      <c r="F99" s="5" t="s">
        <v>1614</v>
      </c>
      <c r="G99" s="5" t="s">
        <v>1615</v>
      </c>
      <c r="I99" s="5">
        <f t="shared" si="4"/>
        <v>2.096958941148408E-2</v>
      </c>
      <c r="K99" s="13">
        <f t="shared" ca="1" si="5"/>
        <v>-1.9572198394226552</v>
      </c>
      <c r="M99">
        <f t="shared" ca="1" si="3"/>
        <v>686.95519807607991</v>
      </c>
    </row>
    <row r="100" spans="1:13" ht="22" x14ac:dyDescent="0.3">
      <c r="A100" s="21">
        <v>155</v>
      </c>
      <c r="B100" s="4" t="s">
        <v>302</v>
      </c>
      <c r="C100" s="5">
        <v>431.12650000000002</v>
      </c>
      <c r="D100" s="5">
        <v>526</v>
      </c>
      <c r="E100" s="5" t="s">
        <v>1616</v>
      </c>
      <c r="F100" s="5" t="s">
        <v>1617</v>
      </c>
      <c r="G100" s="5" t="s">
        <v>1618</v>
      </c>
      <c r="I100" s="5">
        <f t="shared" si="4"/>
        <v>-1.0341205842767209E-2</v>
      </c>
      <c r="K100" s="13">
        <f t="shared" ca="1" si="5"/>
        <v>-6.776456171990082E-2</v>
      </c>
      <c r="M100">
        <f t="shared" ca="1" si="3"/>
        <v>722.48698893200901</v>
      </c>
    </row>
    <row r="101" spans="1:13" ht="22" x14ac:dyDescent="0.3">
      <c r="A101" s="21">
        <v>154</v>
      </c>
      <c r="B101" s="4" t="s">
        <v>305</v>
      </c>
      <c r="C101" s="5">
        <v>435.608</v>
      </c>
      <c r="D101" s="5">
        <v>872</v>
      </c>
      <c r="E101" s="5" t="s">
        <v>1619</v>
      </c>
      <c r="F101" s="5" t="s">
        <v>1620</v>
      </c>
      <c r="G101" s="5" t="s">
        <v>1621</v>
      </c>
      <c r="I101" s="5">
        <f t="shared" si="4"/>
        <v>9.8761356969667702E-4</v>
      </c>
      <c r="K101" s="13">
        <f t="shared" ca="1" si="5"/>
        <v>-9.3922450953741576E-2</v>
      </c>
      <c r="M101">
        <f t="shared" ca="1" si="3"/>
        <v>723.98784922060031</v>
      </c>
    </row>
    <row r="102" spans="1:13" ht="22" x14ac:dyDescent="0.3">
      <c r="A102" s="21">
        <v>153</v>
      </c>
      <c r="B102" s="4" t="s">
        <v>308</v>
      </c>
      <c r="C102" s="5">
        <v>435.178</v>
      </c>
      <c r="D102" s="5">
        <v>1281</v>
      </c>
      <c r="E102" s="5" t="s">
        <v>1622</v>
      </c>
      <c r="F102" s="5" t="s">
        <v>1623</v>
      </c>
      <c r="G102" s="5" t="s">
        <v>1622</v>
      </c>
      <c r="I102" s="5">
        <f t="shared" si="4"/>
        <v>-3.6598721590059391E-2</v>
      </c>
      <c r="K102" s="13">
        <f t="shared" ca="1" si="5"/>
        <v>0.51283122503456646</v>
      </c>
      <c r="M102">
        <f t="shared" ca="1" si="3"/>
        <v>725.977659863859</v>
      </c>
    </row>
    <row r="103" spans="1:13" ht="22" x14ac:dyDescent="0.3">
      <c r="A103" s="21">
        <v>152</v>
      </c>
      <c r="B103" s="4" t="s">
        <v>311</v>
      </c>
      <c r="C103" s="5">
        <v>451.4</v>
      </c>
      <c r="D103" s="5">
        <v>295</v>
      </c>
      <c r="E103" s="5" t="s">
        <v>1624</v>
      </c>
      <c r="F103" s="5" t="s">
        <v>1624</v>
      </c>
      <c r="G103" s="5" t="s">
        <v>1625</v>
      </c>
      <c r="I103" s="5">
        <f t="shared" si="4"/>
        <v>4.7752941969121387E-2</v>
      </c>
      <c r="K103" s="13">
        <f t="shared" ca="1" si="5"/>
        <v>-0.16836365248436097</v>
      </c>
      <c r="M103">
        <f t="shared" ca="1" si="3"/>
        <v>716.75621273345439</v>
      </c>
    </row>
    <row r="104" spans="1:13" ht="22" x14ac:dyDescent="0.3">
      <c r="A104" s="21">
        <v>151</v>
      </c>
      <c r="B104" s="4" t="s">
        <v>314</v>
      </c>
      <c r="C104" s="5">
        <v>430.35090000000002</v>
      </c>
      <c r="D104" s="5">
        <v>106</v>
      </c>
      <c r="E104" s="5" t="s">
        <v>1626</v>
      </c>
      <c r="F104" s="5" t="s">
        <v>1627</v>
      </c>
      <c r="G104" s="5" t="s">
        <v>1625</v>
      </c>
      <c r="I104" s="5">
        <f t="shared" si="4"/>
        <v>-6.9230865980589584E-2</v>
      </c>
      <c r="K104" s="13">
        <f t="shared" ca="1" si="5"/>
        <v>-0.24808490977256031</v>
      </c>
      <c r="M104">
        <f t="shared" ca="1" si="3"/>
        <v>720.09670326572893</v>
      </c>
    </row>
    <row r="105" spans="1:13" ht="22" x14ac:dyDescent="0.3">
      <c r="A105" s="21">
        <v>150</v>
      </c>
      <c r="B105" s="4" t="s">
        <v>318</v>
      </c>
      <c r="C105" s="5">
        <v>461.2</v>
      </c>
      <c r="D105" s="5">
        <v>494</v>
      </c>
      <c r="E105" s="5" t="s">
        <v>1628</v>
      </c>
      <c r="F105" s="5" t="s">
        <v>1629</v>
      </c>
      <c r="G105" s="5" t="s">
        <v>1630</v>
      </c>
      <c r="I105" s="5">
        <f t="shared" si="4"/>
        <v>2.3340534865281093E-2</v>
      </c>
      <c r="K105" s="13">
        <f t="shared" ca="1" si="5"/>
        <v>1.2277757091024792</v>
      </c>
      <c r="M105">
        <f t="shared" ca="1" si="3"/>
        <v>724.93028258346328</v>
      </c>
    </row>
    <row r="106" spans="1:13" ht="22" x14ac:dyDescent="0.3">
      <c r="A106" s="21">
        <v>149</v>
      </c>
      <c r="B106" s="4" t="s">
        <v>321</v>
      </c>
      <c r="C106" s="5">
        <v>450.56</v>
      </c>
      <c r="D106" s="5">
        <v>232</v>
      </c>
      <c r="E106" s="5" t="s">
        <v>1631</v>
      </c>
      <c r="F106" s="5" t="s">
        <v>1632</v>
      </c>
      <c r="G106" s="5" t="s">
        <v>1535</v>
      </c>
      <c r="I106" s="5">
        <f t="shared" si="4"/>
        <v>1.3316251999526685E-2</v>
      </c>
      <c r="K106" s="13">
        <f t="shared" ca="1" si="5"/>
        <v>0.12763972173470969</v>
      </c>
      <c r="M106">
        <f t="shared" ca="1" si="3"/>
        <v>702.74569515081407</v>
      </c>
    </row>
    <row r="107" spans="1:13" ht="22" x14ac:dyDescent="0.3">
      <c r="A107" s="21">
        <v>148</v>
      </c>
      <c r="B107" s="4" t="s">
        <v>324</v>
      </c>
      <c r="C107" s="5">
        <v>444.6</v>
      </c>
      <c r="D107" s="5">
        <v>1002</v>
      </c>
      <c r="E107" s="5" t="s">
        <v>1633</v>
      </c>
      <c r="F107" s="5" t="s">
        <v>1634</v>
      </c>
      <c r="G107" s="5" t="s">
        <v>1471</v>
      </c>
      <c r="I107" s="5">
        <f t="shared" si="4"/>
        <v>-1.5478330635767534E-2</v>
      </c>
      <c r="K107" s="13">
        <f t="shared" ca="1" si="5"/>
        <v>0.86636386004561894</v>
      </c>
      <c r="M107">
        <f t="shared" ca="1" si="3"/>
        <v>700.69274062685668</v>
      </c>
    </row>
    <row r="108" spans="1:13" ht="22" x14ac:dyDescent="0.3">
      <c r="A108" s="21">
        <v>147</v>
      </c>
      <c r="B108" s="4" t="s">
        <v>328</v>
      </c>
      <c r="C108" s="5">
        <v>451.53519999999997</v>
      </c>
      <c r="D108" s="5">
        <v>224</v>
      </c>
      <c r="E108" s="5" t="s">
        <v>1635</v>
      </c>
      <c r="F108" s="5" t="s">
        <v>1636</v>
      </c>
      <c r="G108" s="5" t="s">
        <v>1637</v>
      </c>
      <c r="I108" s="5">
        <f t="shared" si="4"/>
        <v>2.7015615040632213E-2</v>
      </c>
      <c r="K108" s="13">
        <f t="shared" ca="1" si="5"/>
        <v>0.26853015534274322</v>
      </c>
      <c r="M108">
        <f t="shared" ca="1" si="3"/>
        <v>685.56160302206069</v>
      </c>
    </row>
    <row r="109" spans="1:13" ht="22" x14ac:dyDescent="0.3">
      <c r="A109" s="21">
        <v>146</v>
      </c>
      <c r="B109" s="4" t="s">
        <v>332</v>
      </c>
      <c r="C109" s="5">
        <v>439.5</v>
      </c>
      <c r="D109" s="5">
        <v>131</v>
      </c>
      <c r="E109" s="5" t="s">
        <v>1638</v>
      </c>
      <c r="F109" s="5" t="s">
        <v>1639</v>
      </c>
      <c r="G109" s="5" t="s">
        <v>1397</v>
      </c>
      <c r="I109" s="5">
        <f t="shared" si="4"/>
        <v>8.0184098190425601E-3</v>
      </c>
      <c r="K109" s="13">
        <f t="shared" ca="1" si="5"/>
        <v>-0.89531808482466424</v>
      </c>
      <c r="M109">
        <f t="shared" ca="1" si="3"/>
        <v>681.09859075085626</v>
      </c>
    </row>
    <row r="110" spans="1:13" ht="22" x14ac:dyDescent="0.3">
      <c r="A110" s="21">
        <v>145</v>
      </c>
      <c r="B110" s="4" t="s">
        <v>336</v>
      </c>
      <c r="C110" s="5">
        <v>435.99</v>
      </c>
      <c r="D110" s="5">
        <v>174</v>
      </c>
      <c r="E110" s="5" t="s">
        <v>1640</v>
      </c>
      <c r="F110" s="5" t="s">
        <v>1640</v>
      </c>
      <c r="G110" s="5" t="s">
        <v>1641</v>
      </c>
      <c r="I110" s="5">
        <f t="shared" si="4"/>
        <v>2.2006940374454942E-2</v>
      </c>
      <c r="K110" s="13">
        <f t="shared" ca="1" si="5"/>
        <v>-1.2941138127070326</v>
      </c>
      <c r="M110">
        <f t="shared" ca="1" si="3"/>
        <v>697.12246860942514</v>
      </c>
    </row>
    <row r="111" spans="1:13" ht="22" x14ac:dyDescent="0.3">
      <c r="A111" s="21">
        <v>144</v>
      </c>
      <c r="B111" s="4" t="s">
        <v>340</v>
      </c>
      <c r="C111" s="5">
        <v>426.5</v>
      </c>
      <c r="D111" s="5">
        <v>913</v>
      </c>
      <c r="E111" s="5" t="s">
        <v>1642</v>
      </c>
      <c r="F111" s="5" t="s">
        <v>1474</v>
      </c>
      <c r="G111" s="5" t="s">
        <v>1643</v>
      </c>
      <c r="I111" s="5">
        <f t="shared" si="4"/>
        <v>-2.4091969025656468E-2</v>
      </c>
      <c r="K111" s="13">
        <f t="shared" ca="1" si="5"/>
        <v>1.2825701315795761</v>
      </c>
      <c r="M111">
        <f t="shared" ca="1" si="3"/>
        <v>720.84285541384747</v>
      </c>
    </row>
    <row r="112" spans="1:13" ht="22" x14ac:dyDescent="0.3">
      <c r="A112" s="21">
        <v>143</v>
      </c>
      <c r="B112" s="6">
        <v>45940</v>
      </c>
      <c r="C112" s="5">
        <v>436.9</v>
      </c>
      <c r="D112" s="5">
        <v>526</v>
      </c>
      <c r="E112" s="5" t="s">
        <v>1644</v>
      </c>
      <c r="F112" s="5" t="s">
        <v>1489</v>
      </c>
      <c r="G112" s="5" t="s">
        <v>1645</v>
      </c>
      <c r="I112" s="5">
        <f t="shared" si="4"/>
        <v>6.5867630497296048E-3</v>
      </c>
      <c r="K112" s="13">
        <f t="shared" ca="1" si="5"/>
        <v>-1.4727128153211098</v>
      </c>
      <c r="M112">
        <f t="shared" ca="1" si="3"/>
        <v>697.80413259143916</v>
      </c>
    </row>
    <row r="113" spans="1:13" ht="22" x14ac:dyDescent="0.3">
      <c r="A113" s="21">
        <v>142</v>
      </c>
      <c r="B113" s="6">
        <v>45910</v>
      </c>
      <c r="C113" s="5">
        <v>434.0317</v>
      </c>
      <c r="D113" s="5">
        <v>159</v>
      </c>
      <c r="E113" s="5" t="s">
        <v>1646</v>
      </c>
      <c r="F113" s="5" t="s">
        <v>1646</v>
      </c>
      <c r="G113" s="5" t="s">
        <v>1647</v>
      </c>
      <c r="I113" s="5">
        <f t="shared" si="4"/>
        <v>-4.0785821392899102E-2</v>
      </c>
      <c r="K113" s="13">
        <f t="shared" ca="1" si="5"/>
        <v>-0.75583685119261801</v>
      </c>
      <c r="M113">
        <f t="shared" ca="1" si="3"/>
        <v>724.8532581187219</v>
      </c>
    </row>
    <row r="114" spans="1:13" ht="22" x14ac:dyDescent="0.3">
      <c r="A114" s="21">
        <v>141</v>
      </c>
      <c r="B114" s="6">
        <v>45879</v>
      </c>
      <c r="C114" s="5">
        <v>452.1</v>
      </c>
      <c r="D114" s="5">
        <v>146</v>
      </c>
      <c r="E114" s="5" t="s">
        <v>1648</v>
      </c>
      <c r="F114" s="5" t="s">
        <v>1648</v>
      </c>
      <c r="G114" s="5" t="s">
        <v>1649</v>
      </c>
      <c r="I114" s="5">
        <f t="shared" si="4"/>
        <v>3.8465413416399308E-2</v>
      </c>
      <c r="K114" s="13">
        <f t="shared" ca="1" si="5"/>
        <v>1.225562400218865</v>
      </c>
      <c r="M114">
        <f t="shared" ca="1" si="3"/>
        <v>739.26292890204331</v>
      </c>
    </row>
    <row r="115" spans="1:13" ht="22" x14ac:dyDescent="0.3">
      <c r="A115" s="21">
        <v>140</v>
      </c>
      <c r="B115" s="6">
        <v>45848</v>
      </c>
      <c r="C115" s="5">
        <v>435.04</v>
      </c>
      <c r="D115" s="5">
        <v>213</v>
      </c>
      <c r="E115" s="5" t="s">
        <v>1650</v>
      </c>
      <c r="F115" s="5" t="s">
        <v>1651</v>
      </c>
      <c r="G115" s="5" t="s">
        <v>1652</v>
      </c>
      <c r="I115" s="5">
        <f t="shared" si="4"/>
        <v>-1.2614338649933998E-2</v>
      </c>
      <c r="K115" s="13">
        <f t="shared" ca="1" si="5"/>
        <v>-0.59521110606672689</v>
      </c>
      <c r="M115">
        <f t="shared" ca="1" si="3"/>
        <v>716.68032241077776</v>
      </c>
    </row>
    <row r="116" spans="1:13" ht="22" x14ac:dyDescent="0.3">
      <c r="A116" s="21">
        <v>139</v>
      </c>
      <c r="B116" s="6">
        <v>45818</v>
      </c>
      <c r="C116" s="5">
        <v>440.5625</v>
      </c>
      <c r="D116" s="5">
        <v>150</v>
      </c>
      <c r="E116" s="5" t="s">
        <v>1653</v>
      </c>
      <c r="F116" s="5" t="s">
        <v>1654</v>
      </c>
      <c r="G116" s="5" t="s">
        <v>1655</v>
      </c>
      <c r="I116" s="5">
        <f t="shared" si="4"/>
        <v>1.0868897023574853E-2</v>
      </c>
      <c r="K116" s="13">
        <f t="shared" ca="1" si="5"/>
        <v>0.6169027321165601</v>
      </c>
      <c r="M116">
        <f t="shared" ca="1" si="3"/>
        <v>727.92902618437381</v>
      </c>
    </row>
    <row r="117" spans="1:13" ht="22" x14ac:dyDescent="0.3">
      <c r="A117" s="21">
        <v>138</v>
      </c>
      <c r="B117" s="6">
        <v>45726</v>
      </c>
      <c r="C117" s="5">
        <v>435.8</v>
      </c>
      <c r="D117" s="5">
        <v>102</v>
      </c>
      <c r="E117" s="5" t="s">
        <v>1656</v>
      </c>
      <c r="F117" s="5" t="s">
        <v>1657</v>
      </c>
      <c r="G117" s="5" t="s">
        <v>1656</v>
      </c>
      <c r="I117" s="5">
        <f t="shared" si="4"/>
        <v>-3.4696248823145481E-2</v>
      </c>
      <c r="K117" s="13">
        <f t="shared" ca="1" si="5"/>
        <v>-1.2053567160908492</v>
      </c>
      <c r="M117">
        <f t="shared" ca="1" si="3"/>
        <v>716.77119325519584</v>
      </c>
    </row>
    <row r="118" spans="1:13" ht="22" x14ac:dyDescent="0.3">
      <c r="A118" s="21">
        <v>137</v>
      </c>
      <c r="B118" s="6">
        <v>45698</v>
      </c>
      <c r="C118" s="5">
        <v>451.18599999999998</v>
      </c>
      <c r="D118" s="5">
        <v>7785</v>
      </c>
      <c r="E118" s="5" t="s">
        <v>1658</v>
      </c>
      <c r="F118" s="5" t="s">
        <v>1659</v>
      </c>
      <c r="G118" s="5" t="s">
        <v>1660</v>
      </c>
      <c r="I118" s="5">
        <f t="shared" si="4"/>
        <v>2.9797756642069295E-2</v>
      </c>
      <c r="K118" s="13">
        <f t="shared" ca="1" si="5"/>
        <v>-0.70936942002633641</v>
      </c>
      <c r="M118">
        <f t="shared" ca="1" si="3"/>
        <v>739.47852979556785</v>
      </c>
    </row>
    <row r="119" spans="1:13" ht="22" x14ac:dyDescent="0.3">
      <c r="A119" s="21">
        <v>136</v>
      </c>
      <c r="B119" s="6">
        <v>45667</v>
      </c>
      <c r="C119" s="5">
        <v>437.94</v>
      </c>
      <c r="D119" s="5">
        <v>396</v>
      </c>
      <c r="E119" s="5" t="s">
        <v>1661</v>
      </c>
      <c r="F119" s="5" t="s">
        <v>1662</v>
      </c>
      <c r="G119" s="5" t="s">
        <v>1663</v>
      </c>
      <c r="I119" s="5">
        <f t="shared" si="4"/>
        <v>1.3656326447485156E-2</v>
      </c>
      <c r="K119" s="13">
        <f t="shared" ca="1" si="5"/>
        <v>-1.2731021797833304</v>
      </c>
      <c r="M119">
        <f t="shared" ca="1" si="3"/>
        <v>753.28260661671686</v>
      </c>
    </row>
    <row r="120" spans="1:13" ht="22" x14ac:dyDescent="0.3">
      <c r="A120" s="21">
        <v>135</v>
      </c>
      <c r="B120" s="4" t="s">
        <v>364</v>
      </c>
      <c r="C120" s="5">
        <v>432</v>
      </c>
      <c r="D120" s="5">
        <v>1947</v>
      </c>
      <c r="E120" s="5" t="s">
        <v>1664</v>
      </c>
      <c r="F120" s="5" t="s">
        <v>1664</v>
      </c>
      <c r="G120" s="5" t="s">
        <v>1396</v>
      </c>
      <c r="I120" s="5">
        <f t="shared" si="4"/>
        <v>1.3958073357395406E-2</v>
      </c>
      <c r="K120" s="13">
        <f t="shared" ca="1" si="5"/>
        <v>-0.61847829472902538</v>
      </c>
      <c r="M120">
        <f t="shared" ca="1" si="3"/>
        <v>778.49517187855338</v>
      </c>
    </row>
    <row r="121" spans="1:13" ht="22" x14ac:dyDescent="0.3">
      <c r="A121" s="21">
        <v>134</v>
      </c>
      <c r="B121" s="4" t="s">
        <v>367</v>
      </c>
      <c r="C121" s="5">
        <v>426.012</v>
      </c>
      <c r="D121" s="5">
        <v>185</v>
      </c>
      <c r="E121" s="5" t="s">
        <v>1665</v>
      </c>
      <c r="F121" s="5" t="s">
        <v>1665</v>
      </c>
      <c r="G121" s="5" t="s">
        <v>1666</v>
      </c>
      <c r="I121" s="5">
        <f t="shared" si="4"/>
        <v>-1.696281385914844E-2</v>
      </c>
      <c r="K121" s="13">
        <f t="shared" ca="1" si="5"/>
        <v>1.3230085111220016</v>
      </c>
      <c r="M121">
        <f t="shared" ca="1" si="3"/>
        <v>791.18507066224834</v>
      </c>
    </row>
    <row r="122" spans="1:13" ht="22" x14ac:dyDescent="0.3">
      <c r="A122" s="21">
        <v>133</v>
      </c>
      <c r="B122" s="4" t="s">
        <v>369</v>
      </c>
      <c r="C122" s="5">
        <v>433.3</v>
      </c>
      <c r="D122" s="5">
        <v>623</v>
      </c>
      <c r="E122" s="5" t="s">
        <v>1667</v>
      </c>
      <c r="F122" s="5" t="s">
        <v>1534</v>
      </c>
      <c r="G122" s="5" t="s">
        <v>1668</v>
      </c>
      <c r="I122" s="5">
        <f t="shared" si="4"/>
        <v>2.8868756509882409E-2</v>
      </c>
      <c r="K122" s="13">
        <f t="shared" ca="1" si="5"/>
        <v>-0.92806822692583735</v>
      </c>
      <c r="M122">
        <f t="shared" ca="1" si="3"/>
        <v>765.10593306301382</v>
      </c>
    </row>
    <row r="123" spans="1:13" ht="22" x14ac:dyDescent="0.3">
      <c r="A123" s="21">
        <v>132</v>
      </c>
      <c r="B123" s="4" t="s">
        <v>371</v>
      </c>
      <c r="C123" s="5">
        <v>420.97</v>
      </c>
      <c r="D123" s="5">
        <v>273</v>
      </c>
      <c r="E123" s="5" t="s">
        <v>1669</v>
      </c>
      <c r="F123" s="5" t="s">
        <v>1670</v>
      </c>
      <c r="G123" s="5" t="s">
        <v>1671</v>
      </c>
      <c r="I123" s="5">
        <f t="shared" si="4"/>
        <v>-1.4643897834677233E-2</v>
      </c>
      <c r="K123" s="13">
        <f t="shared" ca="1" si="5"/>
        <v>-1.0092668173537784</v>
      </c>
      <c r="M123">
        <f t="shared" ca="1" si="3"/>
        <v>783.7628428672823</v>
      </c>
    </row>
    <row r="124" spans="1:13" ht="22" x14ac:dyDescent="0.3">
      <c r="A124" s="21">
        <v>131</v>
      </c>
      <c r="B124" s="4" t="s">
        <v>374</v>
      </c>
      <c r="C124" s="5">
        <v>427.18</v>
      </c>
      <c r="D124" s="5">
        <v>727</v>
      </c>
      <c r="E124" s="5" t="s">
        <v>1672</v>
      </c>
      <c r="F124" s="5" t="s">
        <v>1673</v>
      </c>
      <c r="G124" s="5" t="s">
        <v>1674</v>
      </c>
      <c r="I124" s="5">
        <f t="shared" si="4"/>
        <v>-3.0682273572296914E-2</v>
      </c>
      <c r="K124" s="13">
        <f t="shared" ca="1" si="5"/>
        <v>1.1970131869208949</v>
      </c>
      <c r="M124">
        <f t="shared" ca="1" si="3"/>
        <v>804.54483929509524</v>
      </c>
    </row>
    <row r="125" spans="1:13" ht="22" x14ac:dyDescent="0.3">
      <c r="A125" s="21">
        <v>130</v>
      </c>
      <c r="B125" s="4" t="s">
        <v>377</v>
      </c>
      <c r="C125" s="5">
        <v>440.49</v>
      </c>
      <c r="D125" s="5">
        <v>130</v>
      </c>
      <c r="E125" s="5" t="s">
        <v>1675</v>
      </c>
      <c r="F125" s="5" t="s">
        <v>1676</v>
      </c>
      <c r="G125" s="5" t="s">
        <v>1677</v>
      </c>
      <c r="I125" s="5">
        <f t="shared" si="4"/>
        <v>2.8927645472967889E-2</v>
      </c>
      <c r="K125" s="13">
        <f t="shared" ca="1" si="5"/>
        <v>0.32490864630909111</v>
      </c>
      <c r="M125">
        <f t="shared" ca="1" si="3"/>
        <v>780.53811585895596</v>
      </c>
    </row>
    <row r="126" spans="1:13" ht="22" x14ac:dyDescent="0.3">
      <c r="A126" s="21">
        <v>129</v>
      </c>
      <c r="B126" s="4" t="s">
        <v>379</v>
      </c>
      <c r="C126" s="5">
        <v>427.93020000000001</v>
      </c>
      <c r="D126" s="5">
        <v>130</v>
      </c>
      <c r="E126" s="5" t="s">
        <v>1678</v>
      </c>
      <c r="F126" s="5" t="s">
        <v>1679</v>
      </c>
      <c r="G126" s="5" t="s">
        <v>1680</v>
      </c>
      <c r="I126" s="5">
        <f t="shared" si="4"/>
        <v>-4.7782126582076145E-2</v>
      </c>
      <c r="K126" s="13">
        <f t="shared" ca="1" si="5"/>
        <v>0.71371086024043917</v>
      </c>
      <c r="M126">
        <f t="shared" ca="1" si="3"/>
        <v>774.33874902358843</v>
      </c>
    </row>
    <row r="127" spans="1:13" ht="22" x14ac:dyDescent="0.3">
      <c r="A127" s="21">
        <v>128</v>
      </c>
      <c r="B127" s="4" t="s">
        <v>382</v>
      </c>
      <c r="C127" s="5">
        <v>448.87400000000002</v>
      </c>
      <c r="D127" s="5">
        <v>138</v>
      </c>
      <c r="E127" s="5" t="s">
        <v>1403</v>
      </c>
      <c r="F127" s="5" t="s">
        <v>1681</v>
      </c>
      <c r="G127" s="5" t="s">
        <v>1682</v>
      </c>
      <c r="I127" s="5">
        <f t="shared" si="4"/>
        <v>1.9399477375748653E-2</v>
      </c>
      <c r="K127" s="13">
        <f t="shared" ca="1" si="5"/>
        <v>1.4457498667318558</v>
      </c>
      <c r="M127">
        <f t="shared" ca="1" si="3"/>
        <v>760.58284088531479</v>
      </c>
    </row>
    <row r="128" spans="1:13" ht="22" x14ac:dyDescent="0.3">
      <c r="A128" s="21">
        <v>127</v>
      </c>
      <c r="B128" s="4" t="s">
        <v>385</v>
      </c>
      <c r="C128" s="5">
        <v>440.25</v>
      </c>
      <c r="D128" s="5">
        <v>144</v>
      </c>
      <c r="E128" s="5" t="s">
        <v>1683</v>
      </c>
      <c r="F128" s="5" t="s">
        <v>1684</v>
      </c>
      <c r="G128" s="5" t="s">
        <v>1685</v>
      </c>
      <c r="I128" s="5">
        <f t="shared" si="4"/>
        <v>1.4775248468490432E-3</v>
      </c>
      <c r="K128" s="13">
        <f t="shared" ca="1" si="5"/>
        <v>1.4188592231073589</v>
      </c>
      <c r="M128">
        <f t="shared" ca="1" si="3"/>
        <v>733.20564391558958</v>
      </c>
    </row>
    <row r="129" spans="1:13" ht="22" x14ac:dyDescent="0.3">
      <c r="A129" s="21">
        <v>126</v>
      </c>
      <c r="B129" s="4" t="s">
        <v>387</v>
      </c>
      <c r="C129" s="5">
        <v>439.6</v>
      </c>
      <c r="D129" s="5">
        <v>517</v>
      </c>
      <c r="E129" s="5" t="s">
        <v>1686</v>
      </c>
      <c r="F129" s="5" t="s">
        <v>1687</v>
      </c>
      <c r="G129" s="5" t="s">
        <v>1686</v>
      </c>
      <c r="I129" s="5">
        <f t="shared" si="4"/>
        <v>-3.5837801502244915E-2</v>
      </c>
      <c r="K129" s="13">
        <f t="shared" ca="1" si="5"/>
        <v>0.81326422755774941</v>
      </c>
      <c r="M129">
        <f t="shared" ca="1" si="3"/>
        <v>707.30047815224464</v>
      </c>
    </row>
    <row r="130" spans="1:13" ht="22" x14ac:dyDescent="0.3">
      <c r="A130" s="21">
        <v>125</v>
      </c>
      <c r="B130" s="4" t="s">
        <v>388</v>
      </c>
      <c r="C130" s="5">
        <v>455.64</v>
      </c>
      <c r="D130" s="5">
        <v>421</v>
      </c>
      <c r="E130" s="5" t="s">
        <v>1688</v>
      </c>
      <c r="F130" s="5" t="s">
        <v>1689</v>
      </c>
      <c r="G130" s="5" t="s">
        <v>1690</v>
      </c>
      <c r="I130" s="5">
        <f t="shared" si="4"/>
        <v>-2.8396419473576628E-2</v>
      </c>
      <c r="K130" s="13">
        <f t="shared" ca="1" si="5"/>
        <v>0.4672701670363823</v>
      </c>
      <c r="M130">
        <f t="shared" ca="1" si="3"/>
        <v>692.96770547424046</v>
      </c>
    </row>
    <row r="131" spans="1:13" ht="22" x14ac:dyDescent="0.3">
      <c r="A131" s="21">
        <v>124</v>
      </c>
      <c r="B131" s="4" t="s">
        <v>391</v>
      </c>
      <c r="C131" s="5">
        <v>468.76400000000001</v>
      </c>
      <c r="D131" s="5">
        <v>207</v>
      </c>
      <c r="E131" s="5" t="s">
        <v>1688</v>
      </c>
      <c r="F131" s="5" t="s">
        <v>1691</v>
      </c>
      <c r="G131" s="5" t="s">
        <v>1688</v>
      </c>
      <c r="I131" s="5">
        <f t="shared" si="4"/>
        <v>5.3923591431143336E-2</v>
      </c>
      <c r="K131" s="13">
        <f t="shared" ca="1" si="5"/>
        <v>0.84403808807655023</v>
      </c>
      <c r="M131">
        <f t="shared" ca="1" si="3"/>
        <v>684.96375897443954</v>
      </c>
    </row>
    <row r="132" spans="1:13" ht="22" x14ac:dyDescent="0.3">
      <c r="A132" s="21">
        <v>123</v>
      </c>
      <c r="B132" s="6">
        <v>46000</v>
      </c>
      <c r="C132" s="5">
        <v>444.15600000000001</v>
      </c>
      <c r="D132" s="5">
        <v>180</v>
      </c>
      <c r="E132" s="5" t="s">
        <v>1692</v>
      </c>
      <c r="F132" s="5" t="s">
        <v>1693</v>
      </c>
      <c r="G132" s="5" t="s">
        <v>1694</v>
      </c>
      <c r="I132" s="5">
        <f t="shared" si="4"/>
        <v>-1.4080110992757966E-2</v>
      </c>
      <c r="K132" s="13">
        <f t="shared" ca="1" si="5"/>
        <v>2.5515857581811248</v>
      </c>
      <c r="M132">
        <f t="shared" ref="M132:M195" ca="1" si="6">M133*EXP((($P$3-$P$4/2)+$P$5*K132))</f>
        <v>670.55530288472619</v>
      </c>
    </row>
    <row r="133" spans="1:13" ht="22" x14ac:dyDescent="0.3">
      <c r="A133" s="21">
        <v>122</v>
      </c>
      <c r="B133" s="6">
        <v>45970</v>
      </c>
      <c r="C133" s="5">
        <v>450.45400000000001</v>
      </c>
      <c r="D133" s="5">
        <v>162</v>
      </c>
      <c r="E133" s="5" t="s">
        <v>1695</v>
      </c>
      <c r="F133" s="5" t="s">
        <v>1695</v>
      </c>
      <c r="G133" s="5" t="s">
        <v>1696</v>
      </c>
      <c r="I133" s="5">
        <f t="shared" ref="I133:I196" si="7">LN(C133)-LN(C134)</f>
        <v>-3.8464824236452699E-3</v>
      </c>
      <c r="K133" s="13">
        <f t="shared" ref="K133:K196" ca="1" si="8">_xlfn.NORM.S.INV(RAND())</f>
        <v>2.3507099112018248</v>
      </c>
      <c r="M133">
        <f t="shared" ca="1" si="6"/>
        <v>628.38101220722763</v>
      </c>
    </row>
    <row r="134" spans="1:13" ht="22" x14ac:dyDescent="0.3">
      <c r="A134" s="21">
        <v>121</v>
      </c>
      <c r="B134" s="6">
        <v>45939</v>
      </c>
      <c r="C134" s="5">
        <v>452.19</v>
      </c>
      <c r="D134" s="5">
        <v>160</v>
      </c>
      <c r="E134" s="5" t="s">
        <v>1697</v>
      </c>
      <c r="F134" s="5" t="s">
        <v>1698</v>
      </c>
      <c r="G134" s="5" t="s">
        <v>1699</v>
      </c>
      <c r="I134" s="5">
        <f t="shared" si="7"/>
        <v>-2.1843325428208438E-2</v>
      </c>
      <c r="K134" s="13">
        <f t="shared" ca="1" si="8"/>
        <v>-0.22547758957638861</v>
      </c>
      <c r="M134">
        <f t="shared" ca="1" si="6"/>
        <v>591.89427888796672</v>
      </c>
    </row>
    <row r="135" spans="1:13" ht="22" x14ac:dyDescent="0.3">
      <c r="A135" s="21">
        <v>120</v>
      </c>
      <c r="B135" s="6">
        <v>45909</v>
      </c>
      <c r="C135" s="5">
        <v>462.17599999999999</v>
      </c>
      <c r="D135" s="5">
        <v>450</v>
      </c>
      <c r="E135" s="5" t="s">
        <v>1700</v>
      </c>
      <c r="F135" s="5" t="s">
        <v>1700</v>
      </c>
      <c r="G135" s="5" t="s">
        <v>1701</v>
      </c>
      <c r="I135" s="5">
        <f t="shared" si="7"/>
        <v>-1.0115784968325769E-2</v>
      </c>
      <c r="K135" s="13">
        <f t="shared" ca="1" si="8"/>
        <v>0.59246039247535554</v>
      </c>
      <c r="M135">
        <f t="shared" ca="1" si="6"/>
        <v>595.522661273219</v>
      </c>
    </row>
    <row r="136" spans="1:13" ht="22" x14ac:dyDescent="0.3">
      <c r="A136" s="21">
        <v>119</v>
      </c>
      <c r="B136" s="6">
        <v>45878</v>
      </c>
      <c r="C136" s="5">
        <v>466.875</v>
      </c>
      <c r="D136" s="5">
        <v>198</v>
      </c>
      <c r="E136" s="5" t="s">
        <v>1702</v>
      </c>
      <c r="F136" s="5" t="s">
        <v>1425</v>
      </c>
      <c r="G136" s="5" t="s">
        <v>1703</v>
      </c>
      <c r="I136" s="5">
        <f t="shared" si="7"/>
        <v>-1.9776378165680342E-2</v>
      </c>
      <c r="K136" s="13">
        <f t="shared" ca="1" si="8"/>
        <v>-0.61835579599257273</v>
      </c>
      <c r="M136">
        <f t="shared" ca="1" si="6"/>
        <v>586.76130055157239</v>
      </c>
    </row>
    <row r="137" spans="1:13" ht="22" x14ac:dyDescent="0.3">
      <c r="A137" s="21">
        <v>118</v>
      </c>
      <c r="B137" s="6">
        <v>45786</v>
      </c>
      <c r="C137" s="5">
        <v>476.2</v>
      </c>
      <c r="D137" s="5">
        <v>285</v>
      </c>
      <c r="E137" s="5" t="s">
        <v>1704</v>
      </c>
      <c r="F137" s="5" t="s">
        <v>1425</v>
      </c>
      <c r="G137" s="5" t="s">
        <v>1705</v>
      </c>
      <c r="I137" s="5">
        <f t="shared" si="7"/>
        <v>1.204197502732729E-2</v>
      </c>
      <c r="K137" s="13">
        <f t="shared" ca="1" si="8"/>
        <v>1.1276481168741159</v>
      </c>
      <c r="M137">
        <f t="shared" ca="1" si="6"/>
        <v>596.32396247017198</v>
      </c>
    </row>
    <row r="138" spans="1:13" ht="22" x14ac:dyDescent="0.3">
      <c r="A138" s="21">
        <v>117</v>
      </c>
      <c r="B138" s="6">
        <v>45756</v>
      </c>
      <c r="C138" s="5">
        <v>470.5</v>
      </c>
      <c r="D138" s="5">
        <v>2094</v>
      </c>
      <c r="E138" s="5" t="s">
        <v>1706</v>
      </c>
      <c r="F138" s="5" t="s">
        <v>1704</v>
      </c>
      <c r="G138" s="5" t="s">
        <v>1705</v>
      </c>
      <c r="I138" s="5">
        <f t="shared" si="7"/>
        <v>-9.5188450092065224E-3</v>
      </c>
      <c r="K138" s="13">
        <f t="shared" ca="1" si="8"/>
        <v>-1.2438278651351136</v>
      </c>
      <c r="M138">
        <f t="shared" ca="1" si="6"/>
        <v>579.55823652905951</v>
      </c>
    </row>
    <row r="139" spans="1:13" ht="22" x14ac:dyDescent="0.3">
      <c r="A139" s="21">
        <v>116</v>
      </c>
      <c r="B139" s="6">
        <v>45725</v>
      </c>
      <c r="C139" s="5">
        <v>475</v>
      </c>
      <c r="D139" s="5">
        <v>204</v>
      </c>
      <c r="E139" s="5" t="s">
        <v>1707</v>
      </c>
      <c r="F139" s="5" t="s">
        <v>1708</v>
      </c>
      <c r="G139" s="5" t="s">
        <v>1709</v>
      </c>
      <c r="I139" s="5">
        <f t="shared" si="7"/>
        <v>1.3138565771838806E-2</v>
      </c>
      <c r="K139" s="13">
        <f t="shared" ca="1" si="8"/>
        <v>-0.63446691020678991</v>
      </c>
      <c r="M139">
        <f t="shared" ca="1" si="6"/>
        <v>598.50763708676413</v>
      </c>
    </row>
    <row r="140" spans="1:13" ht="22" x14ac:dyDescent="0.3">
      <c r="A140" s="21">
        <v>115</v>
      </c>
      <c r="B140" s="6">
        <v>45697</v>
      </c>
      <c r="C140" s="5">
        <v>468.8</v>
      </c>
      <c r="D140" s="5">
        <v>1212</v>
      </c>
      <c r="E140" s="5" t="s">
        <v>1710</v>
      </c>
      <c r="F140" s="5" t="s">
        <v>1711</v>
      </c>
      <c r="G140" s="5" t="s">
        <v>1712</v>
      </c>
      <c r="I140" s="5">
        <f t="shared" si="7"/>
        <v>-9.7222103538623372E-3</v>
      </c>
      <c r="K140" s="13">
        <f t="shared" ca="1" si="8"/>
        <v>0.44260717956063772</v>
      </c>
      <c r="M140">
        <f t="shared" ca="1" si="6"/>
        <v>608.51258187548103</v>
      </c>
    </row>
    <row r="141" spans="1:13" ht="22" x14ac:dyDescent="0.3">
      <c r="A141" s="21">
        <v>114</v>
      </c>
      <c r="B141" s="4" t="s">
        <v>406</v>
      </c>
      <c r="C141" s="5">
        <v>473.38</v>
      </c>
      <c r="D141" s="5">
        <v>97</v>
      </c>
      <c r="E141" s="5" t="s">
        <v>1713</v>
      </c>
      <c r="F141" s="5" t="s">
        <v>1714</v>
      </c>
      <c r="G141" s="5" t="s">
        <v>1715</v>
      </c>
      <c r="I141" s="5">
        <f t="shared" si="7"/>
        <v>-5.7294675838086562E-3</v>
      </c>
      <c r="K141" s="13">
        <f t="shared" ca="1" si="8"/>
        <v>1.8382772047720048</v>
      </c>
      <c r="M141">
        <f t="shared" ca="1" si="6"/>
        <v>601.86387594058192</v>
      </c>
    </row>
    <row r="142" spans="1:13" ht="22" x14ac:dyDescent="0.3">
      <c r="A142" s="21">
        <v>113</v>
      </c>
      <c r="B142" s="4" t="s">
        <v>407</v>
      </c>
      <c r="C142" s="5">
        <v>476.1</v>
      </c>
      <c r="D142" s="5">
        <v>175</v>
      </c>
      <c r="E142" s="5" t="s">
        <v>1716</v>
      </c>
      <c r="F142" s="5" t="s">
        <v>1716</v>
      </c>
      <c r="G142" s="5" t="s">
        <v>1717</v>
      </c>
      <c r="I142" s="5">
        <f t="shared" si="7"/>
        <v>2.6710709622808082E-3</v>
      </c>
      <c r="K142" s="13">
        <f t="shared" ca="1" si="8"/>
        <v>0.62213760037015442</v>
      </c>
      <c r="M142">
        <f t="shared" ca="1" si="6"/>
        <v>574.40049392959804</v>
      </c>
    </row>
    <row r="143" spans="1:13" ht="22" x14ac:dyDescent="0.3">
      <c r="A143" s="21">
        <v>112</v>
      </c>
      <c r="B143" s="4" t="s">
        <v>410</v>
      </c>
      <c r="C143" s="5">
        <v>474.83</v>
      </c>
      <c r="D143" s="5">
        <v>250</v>
      </c>
      <c r="E143" s="5" t="s">
        <v>1430</v>
      </c>
      <c r="F143" s="5" t="s">
        <v>1430</v>
      </c>
      <c r="G143" s="5" t="s">
        <v>1718</v>
      </c>
      <c r="I143" s="5">
        <f t="shared" si="7"/>
        <v>9.8497525446568091E-3</v>
      </c>
      <c r="K143" s="13">
        <f t="shared" ca="1" si="8"/>
        <v>-0.46107840283351392</v>
      </c>
      <c r="M143">
        <f t="shared" ca="1" si="6"/>
        <v>565.52020664841746</v>
      </c>
    </row>
    <row r="144" spans="1:13" ht="22" x14ac:dyDescent="0.3">
      <c r="A144" s="21">
        <v>111</v>
      </c>
      <c r="B144" s="4" t="s">
        <v>413</v>
      </c>
      <c r="C144" s="5">
        <v>470.17599999999999</v>
      </c>
      <c r="D144" s="5">
        <v>213</v>
      </c>
      <c r="E144" s="5" t="s">
        <v>1719</v>
      </c>
      <c r="F144" s="5" t="s">
        <v>1720</v>
      </c>
      <c r="G144" s="5" t="s">
        <v>1721</v>
      </c>
      <c r="I144" s="5">
        <f t="shared" si="7"/>
        <v>-7.2137602548298929E-3</v>
      </c>
      <c r="K144" s="13">
        <f t="shared" ca="1" si="8"/>
        <v>0.39066574241193724</v>
      </c>
      <c r="M144">
        <f t="shared" ca="1" si="6"/>
        <v>572.42799479621431</v>
      </c>
    </row>
    <row r="145" spans="1:13" ht="22" x14ac:dyDescent="0.3">
      <c r="A145" s="21">
        <v>110</v>
      </c>
      <c r="B145" s="4" t="s">
        <v>416</v>
      </c>
      <c r="C145" s="5">
        <v>473.58</v>
      </c>
      <c r="D145" s="5">
        <v>110</v>
      </c>
      <c r="E145" s="5" t="s">
        <v>1722</v>
      </c>
      <c r="F145" s="5" t="s">
        <v>1722</v>
      </c>
      <c r="G145" s="5" t="s">
        <v>1723</v>
      </c>
      <c r="I145" s="5">
        <f t="shared" si="7"/>
        <v>1.6894032223291333E-4</v>
      </c>
      <c r="K145" s="13">
        <f t="shared" ca="1" si="8"/>
        <v>-1.4350491198178938</v>
      </c>
      <c r="M145">
        <f t="shared" ca="1" si="6"/>
        <v>566.92666451796867</v>
      </c>
    </row>
    <row r="146" spans="1:13" ht="22" x14ac:dyDescent="0.3">
      <c r="A146" s="21">
        <v>109</v>
      </c>
      <c r="B146" s="4" t="s">
        <v>418</v>
      </c>
      <c r="C146" s="5">
        <v>473.5</v>
      </c>
      <c r="D146" s="5">
        <v>820</v>
      </c>
      <c r="E146" s="5" t="s">
        <v>1724</v>
      </c>
      <c r="F146" s="5" t="s">
        <v>1725</v>
      </c>
      <c r="G146" s="5" t="s">
        <v>1726</v>
      </c>
      <c r="I146" s="5">
        <f t="shared" si="7"/>
        <v>-3.7521914213529683E-3</v>
      </c>
      <c r="K146" s="13">
        <f t="shared" ca="1" si="8"/>
        <v>-1.4108433341932896</v>
      </c>
      <c r="M146">
        <f t="shared" ca="1" si="6"/>
        <v>588.33519404348567</v>
      </c>
    </row>
    <row r="147" spans="1:13" ht="22" x14ac:dyDescent="0.3">
      <c r="A147" s="21">
        <v>108</v>
      </c>
      <c r="B147" s="4" t="s">
        <v>420</v>
      </c>
      <c r="C147" s="5">
        <v>475.28</v>
      </c>
      <c r="D147" s="5">
        <v>348</v>
      </c>
      <c r="E147" s="5" t="s">
        <v>1727</v>
      </c>
      <c r="F147" s="5" t="s">
        <v>1727</v>
      </c>
      <c r="G147" s="5" t="s">
        <v>1728</v>
      </c>
      <c r="I147" s="5">
        <f t="shared" si="7"/>
        <v>1.7146672533468355E-2</v>
      </c>
      <c r="K147" s="13">
        <f t="shared" ca="1" si="8"/>
        <v>0.92409616529279603</v>
      </c>
      <c r="M147">
        <f t="shared" ca="1" si="6"/>
        <v>610.17405581106175</v>
      </c>
    </row>
    <row r="148" spans="1:13" ht="22" x14ac:dyDescent="0.3">
      <c r="A148" s="21">
        <v>107</v>
      </c>
      <c r="B148" s="4" t="s">
        <v>421</v>
      </c>
      <c r="C148" s="5">
        <v>467.2</v>
      </c>
      <c r="D148" s="5">
        <v>223</v>
      </c>
      <c r="E148" s="5" t="s">
        <v>1729</v>
      </c>
      <c r="F148" s="5" t="s">
        <v>1729</v>
      </c>
      <c r="G148" s="5" t="s">
        <v>1730</v>
      </c>
      <c r="I148" s="5">
        <f t="shared" si="7"/>
        <v>1.6009317303649517E-2</v>
      </c>
      <c r="K148" s="13">
        <f t="shared" ca="1" si="8"/>
        <v>-0.72627424402105689</v>
      </c>
      <c r="M148">
        <f t="shared" ca="1" si="6"/>
        <v>596.11622014687362</v>
      </c>
    </row>
    <row r="149" spans="1:13" ht="22" x14ac:dyDescent="0.3">
      <c r="A149" s="21">
        <v>106</v>
      </c>
      <c r="B149" s="4" t="s">
        <v>423</v>
      </c>
      <c r="C149" s="5">
        <v>459.78</v>
      </c>
      <c r="D149" s="5">
        <v>727</v>
      </c>
      <c r="E149" s="5" t="s">
        <v>1731</v>
      </c>
      <c r="F149" s="5" t="s">
        <v>1423</v>
      </c>
      <c r="G149" s="5" t="s">
        <v>1732</v>
      </c>
      <c r="I149" s="5">
        <f t="shared" si="7"/>
        <v>-1.166399399446405E-3</v>
      </c>
      <c r="K149" s="13">
        <f t="shared" ca="1" si="8"/>
        <v>-0.60052684785580224</v>
      </c>
      <c r="M149">
        <f t="shared" ca="1" si="6"/>
        <v>607.50687679983082</v>
      </c>
    </row>
    <row r="150" spans="1:13" ht="22" x14ac:dyDescent="0.3">
      <c r="A150" s="21">
        <v>105</v>
      </c>
      <c r="B150" s="4" t="s">
        <v>426</v>
      </c>
      <c r="C150" s="5">
        <v>460.31659999999999</v>
      </c>
      <c r="D150" s="5">
        <v>252</v>
      </c>
      <c r="E150" s="5" t="s">
        <v>1733</v>
      </c>
      <c r="F150" s="5" t="s">
        <v>1734</v>
      </c>
      <c r="G150" s="5" t="s">
        <v>1735</v>
      </c>
      <c r="I150" s="5">
        <f t="shared" si="7"/>
        <v>9.5861913069184013E-3</v>
      </c>
      <c r="K150" s="13">
        <f t="shared" ca="1" si="8"/>
        <v>0.65293261626712162</v>
      </c>
      <c r="M150">
        <f t="shared" ca="1" si="6"/>
        <v>617.12599021939184</v>
      </c>
    </row>
    <row r="151" spans="1:13" ht="22" x14ac:dyDescent="0.3">
      <c r="A151" s="21">
        <v>104</v>
      </c>
      <c r="B151" s="4" t="s">
        <v>428</v>
      </c>
      <c r="C151" s="5">
        <v>455.92500000000001</v>
      </c>
      <c r="D151" s="5">
        <v>617</v>
      </c>
      <c r="E151" s="5" t="s">
        <v>1736</v>
      </c>
      <c r="F151" s="5" t="s">
        <v>1737</v>
      </c>
      <c r="G151" s="5" t="s">
        <v>1552</v>
      </c>
      <c r="I151" s="5">
        <f t="shared" si="7"/>
        <v>1.8338984353069243E-2</v>
      </c>
      <c r="K151" s="13">
        <f t="shared" ca="1" si="8"/>
        <v>0.91774222676667916</v>
      </c>
      <c r="M151">
        <f t="shared" ca="1" si="6"/>
        <v>607.10650776858506</v>
      </c>
    </row>
    <row r="152" spans="1:13" ht="22" x14ac:dyDescent="0.3">
      <c r="A152" s="21">
        <v>103</v>
      </c>
      <c r="B152" s="4" t="s">
        <v>430</v>
      </c>
      <c r="C152" s="5">
        <v>447.64</v>
      </c>
      <c r="D152" s="5">
        <v>140</v>
      </c>
      <c r="E152" s="5" t="s">
        <v>1437</v>
      </c>
      <c r="F152" s="5" t="s">
        <v>1437</v>
      </c>
      <c r="G152" s="5" t="s">
        <v>1738</v>
      </c>
      <c r="I152" s="5">
        <f t="shared" si="7"/>
        <v>-1.9818396145868888E-2</v>
      </c>
      <c r="K152" s="13">
        <f t="shared" ca="1" si="8"/>
        <v>0.57749504929020734</v>
      </c>
      <c r="M152">
        <f t="shared" ca="1" si="6"/>
        <v>593.2158008929016</v>
      </c>
    </row>
    <row r="153" spans="1:13" ht="22" x14ac:dyDescent="0.3">
      <c r="A153" s="21">
        <v>102</v>
      </c>
      <c r="B153" s="4" t="s">
        <v>432</v>
      </c>
      <c r="C153" s="5">
        <v>456.6</v>
      </c>
      <c r="D153" s="5">
        <v>172</v>
      </c>
      <c r="E153" s="5" t="s">
        <v>1739</v>
      </c>
      <c r="F153" s="5" t="s">
        <v>1740</v>
      </c>
      <c r="G153" s="5" t="s">
        <v>1489</v>
      </c>
      <c r="I153" s="5">
        <f t="shared" si="7"/>
        <v>1.7676112009587186E-2</v>
      </c>
      <c r="K153" s="13">
        <f t="shared" ca="1" si="8"/>
        <v>-0.27929757138879224</v>
      </c>
      <c r="M153">
        <f t="shared" ca="1" si="6"/>
        <v>584.71227760565364</v>
      </c>
    </row>
    <row r="154" spans="1:13" ht="22" x14ac:dyDescent="0.3">
      <c r="A154" s="21">
        <v>101</v>
      </c>
      <c r="B154" s="6">
        <v>45999</v>
      </c>
      <c r="C154" s="5">
        <v>448.6</v>
      </c>
      <c r="D154" s="5">
        <v>187</v>
      </c>
      <c r="E154" s="5" t="s">
        <v>1741</v>
      </c>
      <c r="F154" s="5" t="s">
        <v>1742</v>
      </c>
      <c r="G154" s="5" t="s">
        <v>1743</v>
      </c>
      <c r="I154" s="5">
        <f t="shared" si="7"/>
        <v>2.7205799208132042E-2</v>
      </c>
      <c r="K154" s="13">
        <f t="shared" ca="1" si="8"/>
        <v>-1.8064622675422131</v>
      </c>
      <c r="M154">
        <f t="shared" ca="1" si="6"/>
        <v>589.10749190278409</v>
      </c>
    </row>
    <row r="155" spans="1:13" ht="22" x14ac:dyDescent="0.3">
      <c r="A155" s="21">
        <v>100</v>
      </c>
      <c r="B155" s="6">
        <v>45969</v>
      </c>
      <c r="C155" s="5">
        <v>436.56</v>
      </c>
      <c r="D155" s="5">
        <v>341</v>
      </c>
      <c r="E155" s="5" t="s">
        <v>1744</v>
      </c>
      <c r="F155" s="5" t="s">
        <v>1745</v>
      </c>
      <c r="G155" s="5" t="s">
        <v>1746</v>
      </c>
      <c r="I155" s="5">
        <f t="shared" si="7"/>
        <v>-1.2361789912924692E-3</v>
      </c>
      <c r="K155" s="13">
        <f t="shared" ca="1" si="8"/>
        <v>2.8884966072184564</v>
      </c>
      <c r="M155">
        <f t="shared" ca="1" si="6"/>
        <v>617.19239437324529</v>
      </c>
    </row>
    <row r="156" spans="1:13" ht="22" x14ac:dyDescent="0.3">
      <c r="A156" s="21">
        <v>99</v>
      </c>
      <c r="B156" s="6">
        <v>45877</v>
      </c>
      <c r="C156" s="5">
        <v>437.1</v>
      </c>
      <c r="D156" s="5">
        <v>155</v>
      </c>
      <c r="E156" s="5" t="s">
        <v>1747</v>
      </c>
      <c r="F156" s="5" t="s">
        <v>1747</v>
      </c>
      <c r="G156" s="5" t="s">
        <v>1748</v>
      </c>
      <c r="I156" s="5">
        <f t="shared" si="7"/>
        <v>3.4881171363911889E-3</v>
      </c>
      <c r="K156" s="13">
        <f t="shared" ca="1" si="8"/>
        <v>-8.6784361192345116E-2</v>
      </c>
      <c r="M156">
        <f t="shared" ca="1" si="6"/>
        <v>573.4088859956878</v>
      </c>
    </row>
    <row r="157" spans="1:13" ht="22" x14ac:dyDescent="0.3">
      <c r="A157" s="21">
        <v>98</v>
      </c>
      <c r="B157" s="6">
        <v>45846</v>
      </c>
      <c r="C157" s="5">
        <v>435.57799999999997</v>
      </c>
      <c r="D157" s="5">
        <v>801</v>
      </c>
      <c r="E157" s="5" t="s">
        <v>1500</v>
      </c>
      <c r="F157" s="5" t="s">
        <v>1749</v>
      </c>
      <c r="G157" s="5" t="s">
        <v>1500</v>
      </c>
      <c r="I157" s="5">
        <f t="shared" si="7"/>
        <v>2.2098397496367106E-2</v>
      </c>
      <c r="K157" s="13">
        <f t="shared" ca="1" si="8"/>
        <v>8.1322122015185919E-2</v>
      </c>
      <c r="M157">
        <f t="shared" ca="1" si="6"/>
        <v>574.87981699559919</v>
      </c>
    </row>
    <row r="158" spans="1:13" ht="22" x14ac:dyDescent="0.3">
      <c r="A158" s="21">
        <v>97</v>
      </c>
      <c r="B158" s="6">
        <v>45816</v>
      </c>
      <c r="C158" s="5">
        <v>426.05799999999999</v>
      </c>
      <c r="D158" s="5">
        <v>203</v>
      </c>
      <c r="E158" s="5" t="s">
        <v>1750</v>
      </c>
      <c r="F158" s="5" t="s">
        <v>1750</v>
      </c>
      <c r="G158" s="5" t="s">
        <v>1606</v>
      </c>
      <c r="I158" s="5">
        <f t="shared" si="7"/>
        <v>-3.5289913165648557E-2</v>
      </c>
      <c r="K158" s="13">
        <f t="shared" ca="1" si="8"/>
        <v>-0.58266782061634692</v>
      </c>
      <c r="M158">
        <f t="shared" ca="1" si="6"/>
        <v>573.88025581334477</v>
      </c>
    </row>
    <row r="159" spans="1:13" ht="22" x14ac:dyDescent="0.3">
      <c r="A159" s="21">
        <v>96</v>
      </c>
      <c r="B159" s="6">
        <v>45785</v>
      </c>
      <c r="C159" s="5">
        <v>441.36200000000002</v>
      </c>
      <c r="D159" s="5">
        <v>97</v>
      </c>
      <c r="E159" s="5" t="s">
        <v>1751</v>
      </c>
      <c r="F159" s="5" t="s">
        <v>1752</v>
      </c>
      <c r="G159" s="5" t="s">
        <v>1753</v>
      </c>
      <c r="I159" s="5">
        <f t="shared" si="7"/>
        <v>1.7397069141090071E-2</v>
      </c>
      <c r="K159" s="13">
        <f t="shared" ca="1" si="8"/>
        <v>4.7404667724742736E-2</v>
      </c>
      <c r="M159">
        <f t="shared" ca="1" si="6"/>
        <v>582.7005494330042</v>
      </c>
    </row>
    <row r="160" spans="1:13" ht="22" x14ac:dyDescent="0.3">
      <c r="A160" s="21">
        <v>95</v>
      </c>
      <c r="B160" s="6">
        <v>45755</v>
      </c>
      <c r="C160" s="5">
        <v>433.75</v>
      </c>
      <c r="D160" s="5">
        <v>147</v>
      </c>
      <c r="E160" s="5" t="s">
        <v>1674</v>
      </c>
      <c r="F160" s="5" t="s">
        <v>1754</v>
      </c>
      <c r="G160" s="5" t="s">
        <v>1674</v>
      </c>
      <c r="I160" s="5">
        <f t="shared" si="7"/>
        <v>-2.3874115064157486E-2</v>
      </c>
      <c r="K160" s="13">
        <f t="shared" ca="1" si="8"/>
        <v>-0.67048903735273857</v>
      </c>
      <c r="M160">
        <f t="shared" ca="1" si="6"/>
        <v>582.19252503482664</v>
      </c>
    </row>
    <row r="161" spans="1:13" ht="22" x14ac:dyDescent="0.3">
      <c r="A161" s="21">
        <v>94</v>
      </c>
      <c r="B161" s="6">
        <v>45665</v>
      </c>
      <c r="C161" s="5">
        <v>444.23</v>
      </c>
      <c r="D161" s="5">
        <v>406</v>
      </c>
      <c r="E161" s="5" t="s">
        <v>1755</v>
      </c>
      <c r="F161" s="5" t="s">
        <v>1756</v>
      </c>
      <c r="G161" s="5" t="s">
        <v>1755</v>
      </c>
      <c r="I161" s="5">
        <f t="shared" si="7"/>
        <v>1.1296485595713612E-2</v>
      </c>
      <c r="K161" s="13">
        <f t="shared" ca="1" si="8"/>
        <v>-0.76129764863399574</v>
      </c>
      <c r="M161">
        <f t="shared" ca="1" si="6"/>
        <v>592.47067487045013</v>
      </c>
    </row>
    <row r="162" spans="1:13" ht="22" x14ac:dyDescent="0.3">
      <c r="A162" s="21">
        <v>93</v>
      </c>
      <c r="B162" s="4" t="s">
        <v>450</v>
      </c>
      <c r="C162" s="5">
        <v>439.24</v>
      </c>
      <c r="D162" s="5">
        <v>107</v>
      </c>
      <c r="E162" s="5" t="s">
        <v>1639</v>
      </c>
      <c r="F162" s="5" t="s">
        <v>1757</v>
      </c>
      <c r="G162" s="5" t="s">
        <v>1758</v>
      </c>
      <c r="I162" s="5">
        <f t="shared" si="7"/>
        <v>-1.7154627973134495E-2</v>
      </c>
      <c r="K162" s="13">
        <f t="shared" ca="1" si="8"/>
        <v>1.9652055243906168</v>
      </c>
      <c r="M162">
        <f t="shared" ca="1" si="6"/>
        <v>604.33310678610087</v>
      </c>
    </row>
    <row r="163" spans="1:13" ht="22" x14ac:dyDescent="0.3">
      <c r="A163" s="21">
        <v>92</v>
      </c>
      <c r="B163" s="4" t="s">
        <v>454</v>
      </c>
      <c r="C163" s="5">
        <v>446.84</v>
      </c>
      <c r="D163" s="5">
        <v>193</v>
      </c>
      <c r="E163" s="5" t="s">
        <v>1639</v>
      </c>
      <c r="F163" s="5" t="s">
        <v>1639</v>
      </c>
      <c r="G163" s="5" t="s">
        <v>1403</v>
      </c>
      <c r="I163" s="5">
        <f t="shared" si="7"/>
        <v>1.2706834425142866E-2</v>
      </c>
      <c r="K163" s="13">
        <f t="shared" ca="1" si="8"/>
        <v>-0.97067906441247642</v>
      </c>
      <c r="M163">
        <f t="shared" ca="1" si="6"/>
        <v>574.88657586522584</v>
      </c>
    </row>
    <row r="164" spans="1:13" ht="22" x14ac:dyDescent="0.3">
      <c r="A164" s="21">
        <v>91</v>
      </c>
      <c r="B164" s="4" t="s">
        <v>457</v>
      </c>
      <c r="C164" s="5">
        <v>441.19799999999998</v>
      </c>
      <c r="D164" s="5">
        <v>321</v>
      </c>
      <c r="E164" s="5" t="s">
        <v>1759</v>
      </c>
      <c r="F164" s="5" t="s">
        <v>1760</v>
      </c>
      <c r="G164" s="5" t="s">
        <v>1761</v>
      </c>
      <c r="I164" s="5">
        <f t="shared" si="7"/>
        <v>1.6449220177099377E-2</v>
      </c>
      <c r="K164" s="13">
        <f t="shared" ca="1" si="8"/>
        <v>0.92671161489861031</v>
      </c>
      <c r="M164">
        <f t="shared" ca="1" si="6"/>
        <v>589.5475877896024</v>
      </c>
    </row>
    <row r="165" spans="1:13" ht="22" x14ac:dyDescent="0.3">
      <c r="A165" s="21">
        <v>90</v>
      </c>
      <c r="B165" s="4" t="s">
        <v>460</v>
      </c>
      <c r="C165" s="5">
        <v>434</v>
      </c>
      <c r="D165" s="5">
        <v>140</v>
      </c>
      <c r="E165" s="5" t="s">
        <v>1762</v>
      </c>
      <c r="F165" s="5" t="s">
        <v>1762</v>
      </c>
      <c r="G165" s="5" t="s">
        <v>1763</v>
      </c>
      <c r="I165" s="5">
        <f t="shared" si="7"/>
        <v>4.8041481903737804E-3</v>
      </c>
      <c r="K165" s="13">
        <f t="shared" ca="1" si="8"/>
        <v>0.23671009806662505</v>
      </c>
      <c r="M165">
        <f t="shared" ca="1" si="6"/>
        <v>575.92641568111912</v>
      </c>
    </row>
    <row r="166" spans="1:13" ht="22" x14ac:dyDescent="0.3">
      <c r="A166" s="21">
        <v>89</v>
      </c>
      <c r="B166" s="4" t="s">
        <v>463</v>
      </c>
      <c r="C166" s="5">
        <v>431.92</v>
      </c>
      <c r="D166" s="5">
        <v>123</v>
      </c>
      <c r="E166" s="5" t="s">
        <v>1764</v>
      </c>
      <c r="F166" s="5" t="s">
        <v>1764</v>
      </c>
      <c r="G166" s="5" t="s">
        <v>1765</v>
      </c>
      <c r="I166" s="5">
        <f t="shared" si="7"/>
        <v>-3.4207031922273146E-3</v>
      </c>
      <c r="K166" s="13">
        <f t="shared" ca="1" si="8"/>
        <v>-1.5222635051465963</v>
      </c>
      <c r="M166">
        <f t="shared" ca="1" si="6"/>
        <v>572.64326725184367</v>
      </c>
    </row>
    <row r="167" spans="1:13" ht="22" x14ac:dyDescent="0.3">
      <c r="A167" s="21">
        <v>88</v>
      </c>
      <c r="B167" s="4" t="s">
        <v>465</v>
      </c>
      <c r="C167" s="5">
        <v>433.4</v>
      </c>
      <c r="D167" s="5">
        <v>110</v>
      </c>
      <c r="E167" s="5" t="s">
        <v>1766</v>
      </c>
      <c r="F167" s="5" t="s">
        <v>1767</v>
      </c>
      <c r="G167" s="5" t="s">
        <v>1766</v>
      </c>
      <c r="I167" s="5">
        <f t="shared" si="7"/>
        <v>-1.0147134305462657E-3</v>
      </c>
      <c r="K167" s="13">
        <f t="shared" ca="1" si="8"/>
        <v>0.38578177747088155</v>
      </c>
      <c r="M167">
        <f t="shared" ca="1" si="6"/>
        <v>595.59555621515267</v>
      </c>
    </row>
    <row r="168" spans="1:13" ht="22" x14ac:dyDescent="0.3">
      <c r="A168" s="21">
        <v>87</v>
      </c>
      <c r="B168" s="4" t="s">
        <v>467</v>
      </c>
      <c r="C168" s="5">
        <v>433.84</v>
      </c>
      <c r="D168" s="5">
        <v>266</v>
      </c>
      <c r="E168" s="5" t="s">
        <v>1768</v>
      </c>
      <c r="F168" s="5" t="s">
        <v>1769</v>
      </c>
      <c r="G168" s="5" t="s">
        <v>1770</v>
      </c>
      <c r="I168" s="5">
        <f t="shared" si="7"/>
        <v>3.0137985240822118E-2</v>
      </c>
      <c r="K168" s="13">
        <f t="shared" ca="1" si="8"/>
        <v>0.94406557438453287</v>
      </c>
      <c r="M168">
        <f t="shared" ca="1" si="6"/>
        <v>589.94530685281006</v>
      </c>
    </row>
    <row r="169" spans="1:13" ht="22" x14ac:dyDescent="0.3">
      <c r="A169" s="21">
        <v>86</v>
      </c>
      <c r="B169" s="4" t="s">
        <v>470</v>
      </c>
      <c r="C169" s="5">
        <v>420.96</v>
      </c>
      <c r="D169" s="5">
        <v>137</v>
      </c>
      <c r="E169" s="5" t="s">
        <v>1771</v>
      </c>
      <c r="F169" s="5" t="s">
        <v>1772</v>
      </c>
      <c r="G169" s="5" t="s">
        <v>1390</v>
      </c>
      <c r="I169" s="5">
        <f t="shared" si="7"/>
        <v>-1.04468407810554E-3</v>
      </c>
      <c r="K169" s="13">
        <f t="shared" ca="1" si="8"/>
        <v>0.30361377996700234</v>
      </c>
      <c r="M169">
        <f t="shared" ca="1" si="6"/>
        <v>576.05904699501787</v>
      </c>
    </row>
    <row r="170" spans="1:13" ht="22" x14ac:dyDescent="0.3">
      <c r="A170" s="21">
        <v>85</v>
      </c>
      <c r="B170" s="4" t="s">
        <v>473</v>
      </c>
      <c r="C170" s="5">
        <v>421.4</v>
      </c>
      <c r="D170" s="5">
        <v>318</v>
      </c>
      <c r="E170" s="5" t="s">
        <v>1773</v>
      </c>
      <c r="F170" s="5" t="s">
        <v>1774</v>
      </c>
      <c r="G170" s="5" t="s">
        <v>1773</v>
      </c>
      <c r="I170" s="5">
        <f t="shared" si="7"/>
        <v>-2.2084656270405567E-2</v>
      </c>
      <c r="K170" s="13">
        <f t="shared" ca="1" si="8"/>
        <v>1.0518491133607417</v>
      </c>
      <c r="M170">
        <f t="shared" ca="1" si="6"/>
        <v>571.79527253910294</v>
      </c>
    </row>
    <row r="171" spans="1:13" ht="22" x14ac:dyDescent="0.3">
      <c r="A171" s="21">
        <v>84</v>
      </c>
      <c r="B171" s="4" t="s">
        <v>475</v>
      </c>
      <c r="C171" s="5">
        <v>430.81</v>
      </c>
      <c r="D171" s="5">
        <v>501</v>
      </c>
      <c r="E171" s="5" t="s">
        <v>1389</v>
      </c>
      <c r="F171" s="5" t="s">
        <v>1775</v>
      </c>
      <c r="G171" s="5" t="s">
        <v>1776</v>
      </c>
      <c r="I171" s="5">
        <f t="shared" si="7"/>
        <v>9.35163821289553E-3</v>
      </c>
      <c r="K171" s="13">
        <f t="shared" ca="1" si="8"/>
        <v>-0.32050005541181148</v>
      </c>
      <c r="M171">
        <f t="shared" ca="1" si="6"/>
        <v>556.7982353776099</v>
      </c>
    </row>
    <row r="172" spans="1:13" ht="22" x14ac:dyDescent="0.3">
      <c r="A172" s="21">
        <v>83</v>
      </c>
      <c r="B172" s="4" t="s">
        <v>478</v>
      </c>
      <c r="C172" s="5">
        <v>426.8</v>
      </c>
      <c r="D172" s="5">
        <v>426</v>
      </c>
      <c r="E172" s="5" t="s">
        <v>1777</v>
      </c>
      <c r="F172" s="5" t="s">
        <v>1777</v>
      </c>
      <c r="G172" s="5" t="s">
        <v>1778</v>
      </c>
      <c r="I172" s="5">
        <f t="shared" si="7"/>
        <v>1.9399709415698574E-2</v>
      </c>
      <c r="K172" s="13">
        <f t="shared" ca="1" si="8"/>
        <v>1.3737206542026914</v>
      </c>
      <c r="M172">
        <f t="shared" ca="1" si="6"/>
        <v>561.57546887224498</v>
      </c>
    </row>
    <row r="173" spans="1:13" ht="22" x14ac:dyDescent="0.3">
      <c r="A173" s="21">
        <v>82</v>
      </c>
      <c r="B173" s="4" t="s">
        <v>481</v>
      </c>
      <c r="C173" s="5">
        <v>418.6</v>
      </c>
      <c r="D173" s="5">
        <v>488</v>
      </c>
      <c r="E173" s="5" t="s">
        <v>1779</v>
      </c>
      <c r="F173" s="5" t="s">
        <v>1780</v>
      </c>
      <c r="G173" s="5" t="s">
        <v>1781</v>
      </c>
      <c r="I173" s="5">
        <f t="shared" si="7"/>
        <v>-1.2411902540270248E-2</v>
      </c>
      <c r="K173" s="13">
        <f t="shared" ca="1" si="8"/>
        <v>0.12363753587363335</v>
      </c>
      <c r="M173">
        <f t="shared" ca="1" si="6"/>
        <v>542.36040180343855</v>
      </c>
    </row>
    <row r="174" spans="1:13" ht="22" x14ac:dyDescent="0.3">
      <c r="A174" s="21">
        <v>81</v>
      </c>
      <c r="B174" s="4" t="s">
        <v>484</v>
      </c>
      <c r="C174" s="5">
        <v>423.82799999999997</v>
      </c>
      <c r="D174" s="5">
        <v>452</v>
      </c>
      <c r="E174" s="5" t="s">
        <v>1782</v>
      </c>
      <c r="F174" s="5" t="s">
        <v>1783</v>
      </c>
      <c r="G174" s="5" t="s">
        <v>1784</v>
      </c>
      <c r="I174" s="5">
        <f t="shared" si="7"/>
        <v>-1.0729626021423577E-2</v>
      </c>
      <c r="K174" s="13">
        <f t="shared" ca="1" si="8"/>
        <v>0.26274775494181335</v>
      </c>
      <c r="M174">
        <f t="shared" ca="1" si="6"/>
        <v>540.83137767655387</v>
      </c>
    </row>
    <row r="175" spans="1:13" ht="22" x14ac:dyDescent="0.3">
      <c r="A175" s="21">
        <v>80</v>
      </c>
      <c r="B175" s="4" t="s">
        <v>488</v>
      </c>
      <c r="C175" s="5">
        <v>428.4</v>
      </c>
      <c r="D175" s="5">
        <v>160</v>
      </c>
      <c r="E175" s="5" t="s">
        <v>1785</v>
      </c>
      <c r="F175" s="5" t="s">
        <v>1786</v>
      </c>
      <c r="G175" s="5" t="s">
        <v>1787</v>
      </c>
      <c r="I175" s="5">
        <f t="shared" si="7"/>
        <v>-1.8501915385321865E-2</v>
      </c>
      <c r="K175" s="13">
        <f t="shared" ca="1" si="8"/>
        <v>3.1544548639424588E-2</v>
      </c>
      <c r="M175">
        <f t="shared" ca="1" si="6"/>
        <v>537.39007962887695</v>
      </c>
    </row>
    <row r="176" spans="1:13" ht="22" x14ac:dyDescent="0.3">
      <c r="A176" s="21">
        <v>79</v>
      </c>
      <c r="B176" s="6">
        <v>45968</v>
      </c>
      <c r="C176" s="5">
        <v>436.4</v>
      </c>
      <c r="D176" s="5">
        <v>294</v>
      </c>
      <c r="E176" s="5" t="s">
        <v>1788</v>
      </c>
      <c r="F176" s="5" t="s">
        <v>1767</v>
      </c>
      <c r="G176" s="5" t="s">
        <v>1789</v>
      </c>
      <c r="I176" s="5">
        <f t="shared" si="7"/>
        <v>-4.1161732024503905E-3</v>
      </c>
      <c r="K176" s="13">
        <f t="shared" ca="1" si="8"/>
        <v>0.15937943390542386</v>
      </c>
      <c r="M176">
        <f t="shared" ca="1" si="6"/>
        <v>537.1395363061182</v>
      </c>
    </row>
    <row r="177" spans="1:13" ht="22" x14ac:dyDescent="0.3">
      <c r="A177" s="21">
        <v>78</v>
      </c>
      <c r="B177" s="6">
        <v>45937</v>
      </c>
      <c r="C177" s="5">
        <v>438.2</v>
      </c>
      <c r="D177" s="5">
        <v>105</v>
      </c>
      <c r="E177" s="5" t="s">
        <v>1639</v>
      </c>
      <c r="F177" s="5" t="s">
        <v>1639</v>
      </c>
      <c r="G177" s="5" t="s">
        <v>1790</v>
      </c>
      <c r="I177" s="5">
        <f t="shared" si="7"/>
        <v>5.5287194138564644E-3</v>
      </c>
      <c r="K177" s="13">
        <f t="shared" ca="1" si="8"/>
        <v>-0.23606264000510241</v>
      </c>
      <c r="M177">
        <f t="shared" ca="1" si="6"/>
        <v>535.13551290203725</v>
      </c>
    </row>
    <row r="178" spans="1:13" ht="22" x14ac:dyDescent="0.3">
      <c r="A178" s="21">
        <v>77</v>
      </c>
      <c r="B178" s="6">
        <v>45907</v>
      </c>
      <c r="C178" s="5">
        <v>435.78399999999999</v>
      </c>
      <c r="D178" s="5">
        <v>476</v>
      </c>
      <c r="E178" s="5" t="s">
        <v>1791</v>
      </c>
      <c r="F178" s="5" t="s">
        <v>1791</v>
      </c>
      <c r="G178" s="5" t="s">
        <v>1792</v>
      </c>
      <c r="I178" s="5">
        <f t="shared" si="7"/>
        <v>-7.58046982016225E-3</v>
      </c>
      <c r="K178" s="13">
        <f t="shared" ca="1" si="8"/>
        <v>-6.0513948883185863E-2</v>
      </c>
      <c r="M178">
        <f t="shared" ca="1" si="6"/>
        <v>538.56183055346594</v>
      </c>
    </row>
    <row r="179" spans="1:13" ht="22" x14ac:dyDescent="0.3">
      <c r="A179" s="21">
        <v>76</v>
      </c>
      <c r="B179" s="6">
        <v>45876</v>
      </c>
      <c r="C179" s="5">
        <v>439.1</v>
      </c>
      <c r="D179" s="5">
        <v>158</v>
      </c>
      <c r="E179" s="5" t="s">
        <v>1793</v>
      </c>
      <c r="F179" s="5" t="s">
        <v>1793</v>
      </c>
      <c r="G179" s="5" t="s">
        <v>1794</v>
      </c>
      <c r="I179" s="5">
        <f t="shared" si="7"/>
        <v>2.0517504063057856E-3</v>
      </c>
      <c r="K179" s="13">
        <f t="shared" ca="1" si="8"/>
        <v>0.89075359078518412</v>
      </c>
      <c r="M179">
        <f t="shared" ca="1" si="6"/>
        <v>539.58048041632389</v>
      </c>
    </row>
    <row r="180" spans="1:13" ht="22" x14ac:dyDescent="0.3">
      <c r="A180" s="21">
        <v>75</v>
      </c>
      <c r="B180" s="6">
        <v>45845</v>
      </c>
      <c r="C180" s="5">
        <v>438.2</v>
      </c>
      <c r="D180" s="5">
        <v>157</v>
      </c>
      <c r="E180" s="5" t="s">
        <v>1795</v>
      </c>
      <c r="F180" s="5" t="s">
        <v>1796</v>
      </c>
      <c r="G180" s="5" t="s">
        <v>1795</v>
      </c>
      <c r="I180" s="5">
        <f t="shared" si="7"/>
        <v>1.8332234640811684E-2</v>
      </c>
      <c r="K180" s="13">
        <f t="shared" ca="1" si="8"/>
        <v>2.1224753628194941</v>
      </c>
      <c r="M180">
        <f t="shared" ca="1" si="6"/>
        <v>527.59906602213334</v>
      </c>
    </row>
    <row r="181" spans="1:13" ht="22" x14ac:dyDescent="0.3">
      <c r="A181" s="21">
        <v>74</v>
      </c>
      <c r="B181" s="6">
        <v>45723</v>
      </c>
      <c r="C181" s="5">
        <v>430.24</v>
      </c>
      <c r="D181" s="5">
        <v>267</v>
      </c>
      <c r="E181" s="5" t="s">
        <v>1797</v>
      </c>
      <c r="F181" s="5" t="s">
        <v>1798</v>
      </c>
      <c r="G181" s="5" t="s">
        <v>1799</v>
      </c>
      <c r="I181" s="5">
        <f t="shared" si="7"/>
        <v>-1.1921956279892676E-2</v>
      </c>
      <c r="K181" s="13">
        <f t="shared" ca="1" si="8"/>
        <v>-2.2909133147005765</v>
      </c>
      <c r="M181">
        <f t="shared" ca="1" si="6"/>
        <v>499.87546589871516</v>
      </c>
    </row>
    <row r="182" spans="1:13" ht="22" x14ac:dyDescent="0.3">
      <c r="A182" s="21">
        <v>73</v>
      </c>
      <c r="B182" s="6">
        <v>45695</v>
      </c>
      <c r="C182" s="5">
        <v>435.4</v>
      </c>
      <c r="D182" s="5">
        <v>197</v>
      </c>
      <c r="E182" s="5" t="s">
        <v>1800</v>
      </c>
      <c r="F182" s="5" t="s">
        <v>1801</v>
      </c>
      <c r="G182" s="5" t="s">
        <v>1802</v>
      </c>
      <c r="I182" s="5">
        <f t="shared" si="7"/>
        <v>7.6729077770156806E-3</v>
      </c>
      <c r="K182" s="13">
        <f t="shared" ca="1" si="8"/>
        <v>-1.0081838706408346</v>
      </c>
      <c r="M182">
        <f t="shared" ca="1" si="6"/>
        <v>530.2397446872277</v>
      </c>
    </row>
    <row r="183" spans="1:13" ht="22" x14ac:dyDescent="0.3">
      <c r="A183" s="21">
        <v>72</v>
      </c>
      <c r="B183" s="6">
        <v>45664</v>
      </c>
      <c r="C183" s="5">
        <v>432.072</v>
      </c>
      <c r="D183" s="5">
        <v>170</v>
      </c>
      <c r="E183" s="5" t="s">
        <v>1803</v>
      </c>
      <c r="F183" s="5" t="s">
        <v>1803</v>
      </c>
      <c r="G183" s="5" t="s">
        <v>1804</v>
      </c>
      <c r="I183" s="5">
        <f t="shared" si="7"/>
        <v>1.3479057395233696E-3</v>
      </c>
      <c r="K183" s="13">
        <f t="shared" ca="1" si="8"/>
        <v>0.59813063998516591</v>
      </c>
      <c r="M183">
        <f t="shared" ca="1" si="6"/>
        <v>544.28432147221918</v>
      </c>
    </row>
    <row r="184" spans="1:13" ht="22" x14ac:dyDescent="0.3">
      <c r="A184" s="21">
        <v>71</v>
      </c>
      <c r="B184" s="4" t="s">
        <v>511</v>
      </c>
      <c r="C184" s="5">
        <v>431.49</v>
      </c>
      <c r="D184" s="5">
        <v>1305</v>
      </c>
      <c r="E184" s="5" t="s">
        <v>1805</v>
      </c>
      <c r="F184" s="5" t="s">
        <v>1755</v>
      </c>
      <c r="G184" s="5" t="s">
        <v>1806</v>
      </c>
      <c r="I184" s="5">
        <f t="shared" si="7"/>
        <v>2.9134780352881862E-2</v>
      </c>
      <c r="K184" s="13">
        <f t="shared" ca="1" si="8"/>
        <v>-8.8125051171307506E-2</v>
      </c>
      <c r="M184">
        <f t="shared" ca="1" si="6"/>
        <v>536.19896651031161</v>
      </c>
    </row>
    <row r="185" spans="1:13" ht="22" x14ac:dyDescent="0.3">
      <c r="A185" s="21">
        <v>70</v>
      </c>
      <c r="B185" s="4" t="s">
        <v>514</v>
      </c>
      <c r="C185" s="5">
        <v>419.1</v>
      </c>
      <c r="D185" s="5">
        <v>273</v>
      </c>
      <c r="E185" s="5" t="s">
        <v>1807</v>
      </c>
      <c r="F185" s="5" t="s">
        <v>1808</v>
      </c>
      <c r="G185" s="5" t="s">
        <v>1809</v>
      </c>
      <c r="I185" s="5">
        <f t="shared" si="7"/>
        <v>3.6447182846598203E-2</v>
      </c>
      <c r="K185" s="13">
        <f t="shared" ca="1" si="8"/>
        <v>-1.1441738305751596</v>
      </c>
      <c r="M185">
        <f t="shared" ca="1" si="6"/>
        <v>537.59289023831161</v>
      </c>
    </row>
    <row r="186" spans="1:13" ht="22" x14ac:dyDescent="0.3">
      <c r="A186" s="21">
        <v>69</v>
      </c>
      <c r="B186" s="4" t="s">
        <v>516</v>
      </c>
      <c r="C186" s="5">
        <v>404.1</v>
      </c>
      <c r="D186" s="5">
        <v>146</v>
      </c>
      <c r="E186" s="5" t="s">
        <v>1578</v>
      </c>
      <c r="F186" s="5" t="s">
        <v>1810</v>
      </c>
      <c r="G186" s="5" t="s">
        <v>1578</v>
      </c>
      <c r="I186" s="5">
        <f t="shared" si="7"/>
        <v>-1.8996833302829863E-2</v>
      </c>
      <c r="K186" s="13">
        <f t="shared" ca="1" si="8"/>
        <v>-0.76173882106895663</v>
      </c>
      <c r="M186">
        <f t="shared" ca="1" si="6"/>
        <v>553.75610202623488</v>
      </c>
    </row>
    <row r="187" spans="1:13" ht="22" x14ac:dyDescent="0.3">
      <c r="A187" s="21">
        <v>68</v>
      </c>
      <c r="B187" s="4" t="s">
        <v>517</v>
      </c>
      <c r="C187" s="5">
        <v>411.85</v>
      </c>
      <c r="D187" s="5">
        <v>257</v>
      </c>
      <c r="E187" s="5" t="s">
        <v>1763</v>
      </c>
      <c r="F187" s="5" t="s">
        <v>1811</v>
      </c>
      <c r="G187" s="5" t="s">
        <v>1812</v>
      </c>
      <c r="I187" s="5">
        <f t="shared" si="7"/>
        <v>-1.4104266115872122E-2</v>
      </c>
      <c r="K187" s="13">
        <f t="shared" ca="1" si="8"/>
        <v>8.0917440930253909E-2</v>
      </c>
      <c r="M187">
        <f t="shared" ca="1" si="6"/>
        <v>564.84976922366513</v>
      </c>
    </row>
    <row r="188" spans="1:13" ht="22" x14ac:dyDescent="0.3">
      <c r="A188" s="21">
        <v>67</v>
      </c>
      <c r="B188" s="4" t="s">
        <v>520</v>
      </c>
      <c r="C188" s="5">
        <v>417.7</v>
      </c>
      <c r="D188" s="5">
        <v>175</v>
      </c>
      <c r="E188" s="5" t="s">
        <v>1813</v>
      </c>
      <c r="F188" s="5" t="s">
        <v>1813</v>
      </c>
      <c r="G188" s="5" t="s">
        <v>1814</v>
      </c>
      <c r="I188" s="5">
        <f t="shared" si="7"/>
        <v>2.0315088004772441E-2</v>
      </c>
      <c r="K188" s="13">
        <f t="shared" ca="1" si="8"/>
        <v>0.14436765376967484</v>
      </c>
      <c r="M188">
        <f t="shared" ca="1" si="6"/>
        <v>563.87348739817537</v>
      </c>
    </row>
    <row r="189" spans="1:13" ht="22" x14ac:dyDescent="0.3">
      <c r="A189" s="21">
        <v>66</v>
      </c>
      <c r="B189" s="4" t="s">
        <v>522</v>
      </c>
      <c r="C189" s="5">
        <v>409.3</v>
      </c>
      <c r="D189" s="5">
        <v>446</v>
      </c>
      <c r="E189" s="5" t="s">
        <v>1815</v>
      </c>
      <c r="F189" s="5" t="s">
        <v>1816</v>
      </c>
      <c r="G189" s="5" t="s">
        <v>1817</v>
      </c>
      <c r="I189" s="5">
        <f t="shared" si="7"/>
        <v>-3.9756193430810605E-2</v>
      </c>
      <c r="K189" s="13">
        <f t="shared" ca="1" si="8"/>
        <v>-1.5833465021934077</v>
      </c>
      <c r="M189">
        <f t="shared" ca="1" si="6"/>
        <v>561.98558568991825</v>
      </c>
    </row>
    <row r="190" spans="1:13" ht="22" x14ac:dyDescent="0.3">
      <c r="A190" s="21">
        <v>65</v>
      </c>
      <c r="B190" s="4" t="s">
        <v>526</v>
      </c>
      <c r="C190" s="5">
        <v>425.9</v>
      </c>
      <c r="D190" s="5">
        <v>233</v>
      </c>
      <c r="E190" s="5" t="s">
        <v>1818</v>
      </c>
      <c r="F190" s="5" t="s">
        <v>1540</v>
      </c>
      <c r="G190" s="5" t="s">
        <v>1818</v>
      </c>
      <c r="I190" s="5">
        <f t="shared" si="7"/>
        <v>-1.3989503037487694E-2</v>
      </c>
      <c r="K190" s="13">
        <f t="shared" ca="1" si="8"/>
        <v>1.335740448808052</v>
      </c>
      <c r="M190">
        <f t="shared" ca="1" si="6"/>
        <v>585.42514738368493</v>
      </c>
    </row>
    <row r="191" spans="1:13" ht="22" x14ac:dyDescent="0.3">
      <c r="A191" s="21">
        <v>64</v>
      </c>
      <c r="B191" s="4" t="s">
        <v>528</v>
      </c>
      <c r="C191" s="5">
        <v>431.9</v>
      </c>
      <c r="D191" s="5">
        <v>760</v>
      </c>
      <c r="E191" s="5" t="s">
        <v>1596</v>
      </c>
      <c r="F191" s="5" t="s">
        <v>1819</v>
      </c>
      <c r="G191" s="5" t="s">
        <v>1820</v>
      </c>
      <c r="I191" s="5">
        <f t="shared" si="7"/>
        <v>2.2051971567977446E-2</v>
      </c>
      <c r="K191" s="13">
        <f t="shared" ca="1" si="8"/>
        <v>-1.3229303932733798E-2</v>
      </c>
      <c r="M191">
        <f t="shared" ca="1" si="6"/>
        <v>565.94385761845263</v>
      </c>
    </row>
    <row r="192" spans="1:13" ht="22" x14ac:dyDescent="0.3">
      <c r="A192" s="21">
        <v>63</v>
      </c>
      <c r="B192" s="4" t="s">
        <v>531</v>
      </c>
      <c r="C192" s="5">
        <v>422.48</v>
      </c>
      <c r="D192" s="5">
        <v>364</v>
      </c>
      <c r="E192" s="5" t="s">
        <v>1821</v>
      </c>
      <c r="F192" s="5" t="s">
        <v>1822</v>
      </c>
      <c r="G192" s="5" t="s">
        <v>1823</v>
      </c>
      <c r="I192" s="5">
        <f t="shared" si="7"/>
        <v>-9.2026963639995074E-3</v>
      </c>
      <c r="K192" s="13">
        <f t="shared" ca="1" si="8"/>
        <v>-1.0773243461377791</v>
      </c>
      <c r="M192">
        <f t="shared" ca="1" si="6"/>
        <v>566.32856184916932</v>
      </c>
    </row>
    <row r="193" spans="1:13" ht="22" x14ac:dyDescent="0.3">
      <c r="A193" s="21">
        <v>62</v>
      </c>
      <c r="B193" s="4" t="s">
        <v>534</v>
      </c>
      <c r="C193" s="5">
        <v>426.38589999999999</v>
      </c>
      <c r="D193" s="5">
        <v>223</v>
      </c>
      <c r="E193" s="5" t="s">
        <v>1824</v>
      </c>
      <c r="F193" s="5" t="s">
        <v>1685</v>
      </c>
      <c r="G193" s="5" t="s">
        <v>1825</v>
      </c>
      <c r="I193" s="5">
        <f t="shared" si="7"/>
        <v>-6.2318474262390566E-4</v>
      </c>
      <c r="K193" s="13">
        <f t="shared" ca="1" si="8"/>
        <v>0.7925547858329175</v>
      </c>
      <c r="M193">
        <f t="shared" ca="1" si="6"/>
        <v>582.35857448902425</v>
      </c>
    </row>
    <row r="194" spans="1:13" ht="22" x14ac:dyDescent="0.3">
      <c r="A194" s="21">
        <v>61</v>
      </c>
      <c r="B194" s="4" t="s">
        <v>537</v>
      </c>
      <c r="C194" s="5">
        <v>426.65170000000001</v>
      </c>
      <c r="D194" s="5">
        <v>374</v>
      </c>
      <c r="E194" s="5" t="s">
        <v>1826</v>
      </c>
      <c r="F194" s="5" t="s">
        <v>1826</v>
      </c>
      <c r="G194" s="5" t="s">
        <v>1827</v>
      </c>
      <c r="I194" s="5">
        <f t="shared" si="7"/>
        <v>-3.3258275385176006E-2</v>
      </c>
      <c r="K194" s="13">
        <f t="shared" ca="1" si="8"/>
        <v>0.29768017190507212</v>
      </c>
      <c r="M194">
        <f t="shared" ca="1" si="6"/>
        <v>570.86010553463097</v>
      </c>
    </row>
    <row r="195" spans="1:13" ht="22" x14ac:dyDescent="0.3">
      <c r="A195" s="21">
        <v>60</v>
      </c>
      <c r="B195" s="6">
        <v>45997</v>
      </c>
      <c r="C195" s="5">
        <v>441.08</v>
      </c>
      <c r="D195" s="5">
        <v>1308</v>
      </c>
      <c r="E195" s="5" t="s">
        <v>1828</v>
      </c>
      <c r="F195" s="5" t="s">
        <v>1829</v>
      </c>
      <c r="G195" s="5" t="s">
        <v>1830</v>
      </c>
      <c r="I195" s="5">
        <f t="shared" si="7"/>
        <v>2.9262301357802833E-2</v>
      </c>
      <c r="K195" s="13">
        <f t="shared" ca="1" si="8"/>
        <v>-0.26427120979219937</v>
      </c>
      <c r="M195">
        <f t="shared" ca="1" si="6"/>
        <v>566.72086372991635</v>
      </c>
    </row>
    <row r="196" spans="1:13" ht="22" x14ac:dyDescent="0.3">
      <c r="A196" s="21">
        <v>59</v>
      </c>
      <c r="B196" s="6">
        <v>45967</v>
      </c>
      <c r="C196" s="5">
        <v>428.36</v>
      </c>
      <c r="D196" s="5">
        <v>396</v>
      </c>
      <c r="E196" s="5" t="s">
        <v>1831</v>
      </c>
      <c r="F196" s="5" t="s">
        <v>1831</v>
      </c>
      <c r="G196" s="5" t="s">
        <v>1832</v>
      </c>
      <c r="I196" s="5">
        <f t="shared" si="7"/>
        <v>-6.2601291232589062E-3</v>
      </c>
      <c r="K196" s="13">
        <f t="shared" ca="1" si="8"/>
        <v>-0.50729613092142967</v>
      </c>
      <c r="M196">
        <f t="shared" ref="M196:M252" ca="1" si="9">M197*EXP((($P$3-$P$4/2)+$P$5*K196))</f>
        <v>570.76130663968081</v>
      </c>
    </row>
    <row r="197" spans="1:13" ht="22" x14ac:dyDescent="0.3">
      <c r="A197" s="21">
        <v>58</v>
      </c>
      <c r="B197" s="6">
        <v>45936</v>
      </c>
      <c r="C197" s="5">
        <v>431.05</v>
      </c>
      <c r="D197" s="5">
        <v>144</v>
      </c>
      <c r="E197" s="5" t="s">
        <v>1833</v>
      </c>
      <c r="F197" s="5" t="s">
        <v>1834</v>
      </c>
      <c r="G197" s="5" t="s">
        <v>1813</v>
      </c>
      <c r="I197" s="5">
        <f t="shared" ref="I197:I253" si="10">LN(C197)-LN(C198)</f>
        <v>1.649063742397594E-2</v>
      </c>
      <c r="K197" s="13">
        <f t="shared" ref="K197:K254" ca="1" si="11">_xlfn.NORM.S.INV(RAND())</f>
        <v>-0.13981855320317974</v>
      </c>
      <c r="M197">
        <f t="shared" ca="1" si="9"/>
        <v>578.41686662609948</v>
      </c>
    </row>
    <row r="198" spans="1:13" ht="22" x14ac:dyDescent="0.3">
      <c r="A198" s="21">
        <v>57</v>
      </c>
      <c r="B198" s="6">
        <v>45906</v>
      </c>
      <c r="C198" s="5">
        <v>424</v>
      </c>
      <c r="D198" s="5">
        <v>422</v>
      </c>
      <c r="E198" s="5" t="s">
        <v>1835</v>
      </c>
      <c r="F198" s="5" t="s">
        <v>1835</v>
      </c>
      <c r="G198" s="5" t="s">
        <v>1836</v>
      </c>
      <c r="I198" s="5">
        <f t="shared" si="10"/>
        <v>-9.3897403498388599E-3</v>
      </c>
      <c r="K198" s="13">
        <f t="shared" ca="1" si="11"/>
        <v>-0.38099176337662866</v>
      </c>
      <c r="M198">
        <f t="shared" ca="1" si="9"/>
        <v>580.6882526395392</v>
      </c>
    </row>
    <row r="199" spans="1:13" ht="22" x14ac:dyDescent="0.3">
      <c r="A199" s="21">
        <v>56</v>
      </c>
      <c r="B199" s="6">
        <v>45814</v>
      </c>
      <c r="C199" s="5">
        <v>428</v>
      </c>
      <c r="D199" s="5">
        <v>139</v>
      </c>
      <c r="E199" s="5" t="s">
        <v>1837</v>
      </c>
      <c r="F199" s="5" t="s">
        <v>1837</v>
      </c>
      <c r="G199" s="5" t="s">
        <v>1838</v>
      </c>
      <c r="I199" s="5">
        <f t="shared" si="10"/>
        <v>-1.6645504790329113E-2</v>
      </c>
      <c r="K199" s="13">
        <f t="shared" ca="1" si="11"/>
        <v>1.2611414961974332</v>
      </c>
      <c r="M199">
        <f t="shared" ca="1" si="9"/>
        <v>586.57784293932878</v>
      </c>
    </row>
    <row r="200" spans="1:13" ht="22" x14ac:dyDescent="0.3">
      <c r="A200" s="21">
        <v>55</v>
      </c>
      <c r="B200" s="6">
        <v>45783</v>
      </c>
      <c r="C200" s="5">
        <v>435.18389999999999</v>
      </c>
      <c r="D200" s="5">
        <v>198</v>
      </c>
      <c r="E200" s="5" t="s">
        <v>1471</v>
      </c>
      <c r="F200" s="5" t="s">
        <v>1839</v>
      </c>
      <c r="G200" s="5" t="s">
        <v>1840</v>
      </c>
      <c r="I200" s="5">
        <f t="shared" si="10"/>
        <v>-1.5088590613891562E-2</v>
      </c>
      <c r="K200" s="13">
        <f t="shared" ca="1" si="11"/>
        <v>0.11270293986724322</v>
      </c>
      <c r="M200">
        <f t="shared" ca="1" si="9"/>
        <v>568.14182467171656</v>
      </c>
    </row>
    <row r="201" spans="1:13" ht="22" x14ac:dyDescent="0.3">
      <c r="A201" s="21">
        <v>54</v>
      </c>
      <c r="B201" s="6">
        <v>45753</v>
      </c>
      <c r="C201" s="5">
        <v>441.8</v>
      </c>
      <c r="D201" s="5">
        <v>302</v>
      </c>
      <c r="E201" s="5" t="s">
        <v>1763</v>
      </c>
      <c r="F201" s="5" t="s">
        <v>1841</v>
      </c>
      <c r="G201" s="5" t="s">
        <v>1842</v>
      </c>
      <c r="I201" s="5">
        <f t="shared" si="10"/>
        <v>6.2458296084972886E-2</v>
      </c>
      <c r="K201" s="13">
        <f t="shared" ca="1" si="11"/>
        <v>-4.9894520777781136E-2</v>
      </c>
      <c r="M201">
        <f t="shared" ca="1" si="9"/>
        <v>566.69867986677878</v>
      </c>
    </row>
    <row r="202" spans="1:13" ht="22" x14ac:dyDescent="0.3">
      <c r="A202" s="21">
        <v>53</v>
      </c>
      <c r="B202" s="6">
        <v>45722</v>
      </c>
      <c r="C202" s="5">
        <v>415.05</v>
      </c>
      <c r="D202" s="5">
        <v>465</v>
      </c>
      <c r="E202" s="5" t="s">
        <v>1843</v>
      </c>
      <c r="F202" s="5" t="s">
        <v>1844</v>
      </c>
      <c r="G202" s="5" t="s">
        <v>1845</v>
      </c>
      <c r="I202" s="5">
        <f t="shared" si="10"/>
        <v>-5.114510848987841E-2</v>
      </c>
      <c r="K202" s="13">
        <f t="shared" ca="1" si="11"/>
        <v>-0.7160861942675758</v>
      </c>
      <c r="M202">
        <f t="shared" ca="1" si="9"/>
        <v>567.61626446685284</v>
      </c>
    </row>
    <row r="203" spans="1:13" ht="22" x14ac:dyDescent="0.3">
      <c r="A203" s="21">
        <v>52</v>
      </c>
      <c r="B203" s="6">
        <v>45694</v>
      </c>
      <c r="C203" s="5">
        <v>436.83</v>
      </c>
      <c r="D203" s="5">
        <v>159</v>
      </c>
      <c r="E203" s="5" t="s">
        <v>1846</v>
      </c>
      <c r="F203" s="5" t="s">
        <v>1846</v>
      </c>
      <c r="G203" s="5" t="s">
        <v>1847</v>
      </c>
      <c r="I203" s="5">
        <f t="shared" si="10"/>
        <v>2.2760090162297963E-2</v>
      </c>
      <c r="K203" s="13">
        <f t="shared" ca="1" si="11"/>
        <v>-0.31970565592958378</v>
      </c>
      <c r="M203">
        <f t="shared" ca="1" si="9"/>
        <v>578.31153579121099</v>
      </c>
    </row>
    <row r="204" spans="1:13" ht="22" x14ac:dyDescent="0.3">
      <c r="A204" s="21">
        <v>51</v>
      </c>
      <c r="B204" s="4" t="s">
        <v>560</v>
      </c>
      <c r="C204" s="5">
        <v>427</v>
      </c>
      <c r="D204" s="5">
        <v>519</v>
      </c>
      <c r="E204" s="5" t="s">
        <v>1848</v>
      </c>
      <c r="F204" s="5" t="s">
        <v>1849</v>
      </c>
      <c r="G204" s="5" t="s">
        <v>1850</v>
      </c>
      <c r="I204" s="5">
        <f t="shared" si="10"/>
        <v>-1.3106161771201386E-3</v>
      </c>
      <c r="K204" s="13">
        <f t="shared" ca="1" si="11"/>
        <v>-1.271502104357956</v>
      </c>
      <c r="M204">
        <f t="shared" ca="1" si="9"/>
        <v>583.2614916851893</v>
      </c>
    </row>
    <row r="205" spans="1:13" ht="22" x14ac:dyDescent="0.3">
      <c r="A205" s="21">
        <v>50</v>
      </c>
      <c r="B205" s="4" t="s">
        <v>562</v>
      </c>
      <c r="C205" s="5">
        <v>427.56</v>
      </c>
      <c r="D205" s="5">
        <v>474</v>
      </c>
      <c r="E205" s="5" t="s">
        <v>1851</v>
      </c>
      <c r="F205" s="5" t="s">
        <v>1851</v>
      </c>
      <c r="G205" s="5" t="s">
        <v>1852</v>
      </c>
      <c r="I205" s="5">
        <f t="shared" si="10"/>
        <v>5.2973755850277193E-2</v>
      </c>
      <c r="K205" s="13">
        <f t="shared" ca="1" si="11"/>
        <v>1.0518664874423489</v>
      </c>
      <c r="M205">
        <f t="shared" ca="1" si="9"/>
        <v>602.75872284548927</v>
      </c>
    </row>
    <row r="206" spans="1:13" ht="22" x14ac:dyDescent="0.3">
      <c r="A206" s="21">
        <v>49</v>
      </c>
      <c r="B206" s="4" t="s">
        <v>565</v>
      </c>
      <c r="C206" s="5">
        <v>405.5</v>
      </c>
      <c r="D206" s="5">
        <v>209</v>
      </c>
      <c r="E206" s="5" t="s">
        <v>1853</v>
      </c>
      <c r="F206" s="5" t="s">
        <v>1854</v>
      </c>
      <c r="G206" s="5" t="s">
        <v>1855</v>
      </c>
      <c r="I206" s="5">
        <f t="shared" si="10"/>
        <v>-4.1544672906078439E-2</v>
      </c>
      <c r="K206" s="13">
        <f t="shared" ca="1" si="11"/>
        <v>0.69241098931984413</v>
      </c>
      <c r="M206">
        <f t="shared" ca="1" si="9"/>
        <v>586.94931582927939</v>
      </c>
    </row>
    <row r="207" spans="1:13" ht="22" x14ac:dyDescent="0.3">
      <c r="A207" s="21">
        <v>48</v>
      </c>
      <c r="B207" s="4" t="s">
        <v>568</v>
      </c>
      <c r="C207" s="5">
        <v>422.70119999999997</v>
      </c>
      <c r="D207" s="5">
        <v>371</v>
      </c>
      <c r="E207" s="5" t="s">
        <v>1856</v>
      </c>
      <c r="F207" s="5" t="s">
        <v>1856</v>
      </c>
      <c r="G207" s="5" t="s">
        <v>1857</v>
      </c>
      <c r="I207" s="5">
        <f t="shared" si="10"/>
        <v>1.2860158864039128E-2</v>
      </c>
      <c r="K207" s="13">
        <f t="shared" ca="1" si="11"/>
        <v>-0.63141157896204436</v>
      </c>
      <c r="M207">
        <f t="shared" ca="1" si="9"/>
        <v>576.83668070189833</v>
      </c>
    </row>
    <row r="208" spans="1:13" ht="22" x14ac:dyDescent="0.3">
      <c r="A208" s="21">
        <v>47</v>
      </c>
      <c r="B208" s="4" t="s">
        <v>570</v>
      </c>
      <c r="C208" s="5">
        <v>417.3</v>
      </c>
      <c r="D208" s="5">
        <v>574</v>
      </c>
      <c r="E208" s="5" t="s">
        <v>1858</v>
      </c>
      <c r="F208" s="5" t="s">
        <v>1859</v>
      </c>
      <c r="G208" s="5" t="s">
        <v>1778</v>
      </c>
      <c r="I208" s="5">
        <f t="shared" si="10"/>
        <v>-1.6635364610771752E-2</v>
      </c>
      <c r="K208" s="13">
        <f t="shared" ca="1" si="11"/>
        <v>-0.17190365367779109</v>
      </c>
      <c r="M208">
        <f t="shared" ca="1" si="9"/>
        <v>586.43350683155654</v>
      </c>
    </row>
    <row r="209" spans="1:13" ht="22" x14ac:dyDescent="0.3">
      <c r="A209" s="21">
        <v>46</v>
      </c>
      <c r="B209" s="4" t="s">
        <v>571</v>
      </c>
      <c r="C209" s="5">
        <v>424.3</v>
      </c>
      <c r="D209" s="5">
        <v>637</v>
      </c>
      <c r="E209" s="5" t="s">
        <v>1860</v>
      </c>
      <c r="F209" s="5" t="s">
        <v>1861</v>
      </c>
      <c r="G209" s="5" t="s">
        <v>1862</v>
      </c>
      <c r="I209" s="5">
        <f t="shared" si="10"/>
        <v>-3.7174530428973007E-2</v>
      </c>
      <c r="K209" s="13">
        <f t="shared" ca="1" si="11"/>
        <v>0.21858724736126831</v>
      </c>
      <c r="M209">
        <f t="shared" ca="1" si="9"/>
        <v>589.21999823332419</v>
      </c>
    </row>
    <row r="210" spans="1:13" ht="22" x14ac:dyDescent="0.3">
      <c r="A210" s="21">
        <v>45</v>
      </c>
      <c r="B210" s="4" t="s">
        <v>572</v>
      </c>
      <c r="C210" s="5">
        <v>440.37</v>
      </c>
      <c r="D210" s="5">
        <v>88</v>
      </c>
      <c r="E210" s="5" t="s">
        <v>1863</v>
      </c>
      <c r="F210" s="5" t="s">
        <v>1864</v>
      </c>
      <c r="G210" s="5" t="s">
        <v>1669</v>
      </c>
      <c r="I210" s="5">
        <f t="shared" si="10"/>
        <v>5.0460609612153817E-2</v>
      </c>
      <c r="K210" s="13">
        <f t="shared" ca="1" si="11"/>
        <v>0.10274312238768543</v>
      </c>
      <c r="M210">
        <f t="shared" ca="1" si="9"/>
        <v>586.13285438693845</v>
      </c>
    </row>
    <row r="211" spans="1:13" ht="22" x14ac:dyDescent="0.3">
      <c r="A211" s="21">
        <v>44</v>
      </c>
      <c r="B211" s="4" t="s">
        <v>575</v>
      </c>
      <c r="C211" s="5">
        <v>418.7</v>
      </c>
      <c r="D211" s="5">
        <v>161</v>
      </c>
      <c r="E211" s="5" t="s">
        <v>1865</v>
      </c>
      <c r="F211" s="5" t="s">
        <v>1865</v>
      </c>
      <c r="G211" s="5" t="s">
        <v>1866</v>
      </c>
      <c r="I211" s="5">
        <f t="shared" si="10"/>
        <v>-2.3451534500213533E-2</v>
      </c>
      <c r="K211" s="13">
        <f t="shared" ca="1" si="11"/>
        <v>-0.88092763456681122</v>
      </c>
      <c r="M211">
        <f t="shared" ca="1" si="9"/>
        <v>584.79305080093593</v>
      </c>
    </row>
    <row r="212" spans="1:13" ht="22" x14ac:dyDescent="0.3">
      <c r="A212" s="21">
        <v>43</v>
      </c>
      <c r="B212" s="4" t="s">
        <v>576</v>
      </c>
      <c r="C212" s="5">
        <v>428.6352</v>
      </c>
      <c r="D212" s="5">
        <v>366</v>
      </c>
      <c r="E212" s="5" t="s">
        <v>1867</v>
      </c>
      <c r="F212" s="5" t="s">
        <v>1868</v>
      </c>
      <c r="G212" s="5" t="s">
        <v>1869</v>
      </c>
      <c r="I212" s="5">
        <f t="shared" si="10"/>
        <v>-8.0045487593238818E-3</v>
      </c>
      <c r="K212" s="13">
        <f t="shared" ca="1" si="11"/>
        <v>0.67922198397948597</v>
      </c>
      <c r="M212">
        <f t="shared" ca="1" si="9"/>
        <v>598.33079970598897</v>
      </c>
    </row>
    <row r="213" spans="1:13" ht="22" x14ac:dyDescent="0.3">
      <c r="A213" s="21">
        <v>42</v>
      </c>
      <c r="B213" s="4" t="s">
        <v>577</v>
      </c>
      <c r="C213" s="5">
        <v>432.08</v>
      </c>
      <c r="D213" s="5">
        <v>458</v>
      </c>
      <c r="E213" s="5" t="s">
        <v>1870</v>
      </c>
      <c r="F213" s="5" t="s">
        <v>1870</v>
      </c>
      <c r="G213" s="5" t="s">
        <v>1871</v>
      </c>
      <c r="I213" s="5">
        <f t="shared" si="10"/>
        <v>-3.119550542002969E-3</v>
      </c>
      <c r="K213" s="13">
        <f t="shared" ca="1" si="11"/>
        <v>1.1399056085667336</v>
      </c>
      <c r="M213">
        <f t="shared" ca="1" si="9"/>
        <v>588.22058251788235</v>
      </c>
    </row>
    <row r="214" spans="1:13" ht="22" x14ac:dyDescent="0.3">
      <c r="A214" s="21">
        <v>41</v>
      </c>
      <c r="B214" s="4" t="s">
        <v>578</v>
      </c>
      <c r="C214" s="5">
        <v>433.43</v>
      </c>
      <c r="D214" s="5">
        <v>448</v>
      </c>
      <c r="E214" s="5" t="s">
        <v>1872</v>
      </c>
      <c r="F214" s="5" t="s">
        <v>1872</v>
      </c>
      <c r="G214" s="5" t="s">
        <v>1873</v>
      </c>
      <c r="I214" s="5">
        <f t="shared" si="10"/>
        <v>3.9113840482958295E-3</v>
      </c>
      <c r="K214" s="13">
        <f t="shared" ca="1" si="11"/>
        <v>0.30542517164715011</v>
      </c>
      <c r="M214">
        <f t="shared" ca="1" si="9"/>
        <v>571.50337828014722</v>
      </c>
    </row>
    <row r="215" spans="1:13" ht="22" x14ac:dyDescent="0.3">
      <c r="A215" s="21">
        <v>40</v>
      </c>
      <c r="B215" s="4" t="s">
        <v>581</v>
      </c>
      <c r="C215" s="5">
        <v>431.738</v>
      </c>
      <c r="D215" s="5">
        <v>364</v>
      </c>
      <c r="E215" s="5" t="s">
        <v>1874</v>
      </c>
      <c r="F215" s="5" t="s">
        <v>1875</v>
      </c>
      <c r="G215" s="5" t="s">
        <v>1876</v>
      </c>
      <c r="I215" s="5">
        <f t="shared" si="10"/>
        <v>-2.7104332697869715E-2</v>
      </c>
      <c r="K215" s="13">
        <f t="shared" ca="1" si="11"/>
        <v>0.55069417292668377</v>
      </c>
      <c r="M215">
        <f t="shared" ca="1" si="9"/>
        <v>567.24702652231088</v>
      </c>
    </row>
    <row r="216" spans="1:13" ht="22" x14ac:dyDescent="0.3">
      <c r="A216" s="21">
        <v>39</v>
      </c>
      <c r="B216" s="4" t="s">
        <v>583</v>
      </c>
      <c r="C216" s="5">
        <v>443.6</v>
      </c>
      <c r="D216" s="5">
        <v>220</v>
      </c>
      <c r="E216" s="5" t="s">
        <v>1877</v>
      </c>
      <c r="F216" s="5" t="s">
        <v>1878</v>
      </c>
      <c r="G216" s="5" t="s">
        <v>1848</v>
      </c>
      <c r="I216" s="5">
        <f t="shared" si="10"/>
        <v>-6.2921555908888038E-3</v>
      </c>
      <c r="K216" s="13">
        <f t="shared" ca="1" si="11"/>
        <v>-0.96088306286070357</v>
      </c>
      <c r="M216">
        <f t="shared" ca="1" si="9"/>
        <v>559.49937967486062</v>
      </c>
    </row>
    <row r="217" spans="1:13" ht="22" x14ac:dyDescent="0.3">
      <c r="A217" s="21">
        <v>38</v>
      </c>
      <c r="B217" s="6">
        <v>45996</v>
      </c>
      <c r="C217" s="5">
        <v>446.4</v>
      </c>
      <c r="D217" s="5">
        <v>406</v>
      </c>
      <c r="E217" s="5" t="s">
        <v>1879</v>
      </c>
      <c r="F217" s="5" t="s">
        <v>1879</v>
      </c>
      <c r="G217" s="5" t="s">
        <v>1880</v>
      </c>
      <c r="I217" s="5">
        <f t="shared" si="10"/>
        <v>1.9380135913072749E-2</v>
      </c>
      <c r="K217" s="13">
        <f t="shared" ca="1" si="11"/>
        <v>0.40499880004527156</v>
      </c>
      <c r="M217">
        <f t="shared" ca="1" si="9"/>
        <v>573.62415473726276</v>
      </c>
    </row>
    <row r="218" spans="1:13" ht="22" x14ac:dyDescent="0.3">
      <c r="A218" s="21">
        <v>37</v>
      </c>
      <c r="B218" s="6">
        <v>45905</v>
      </c>
      <c r="C218" s="5">
        <v>437.83199999999999</v>
      </c>
      <c r="D218" s="5">
        <v>610</v>
      </c>
      <c r="E218" s="5" t="s">
        <v>1881</v>
      </c>
      <c r="F218" s="5" t="s">
        <v>1882</v>
      </c>
      <c r="G218" s="5" t="s">
        <v>1883</v>
      </c>
      <c r="I218" s="5">
        <f t="shared" si="10"/>
        <v>3.0946826806130368E-2</v>
      </c>
      <c r="K218" s="13">
        <f t="shared" ca="1" si="11"/>
        <v>-0.14524233057470057</v>
      </c>
      <c r="M218">
        <f t="shared" ca="1" si="9"/>
        <v>567.90297627246787</v>
      </c>
    </row>
    <row r="219" spans="1:13" ht="22" x14ac:dyDescent="0.3">
      <c r="A219" s="21">
        <v>36</v>
      </c>
      <c r="B219" s="6">
        <v>45874</v>
      </c>
      <c r="C219" s="5">
        <v>424.49</v>
      </c>
      <c r="D219" s="5">
        <v>282</v>
      </c>
      <c r="E219" s="5" t="s">
        <v>1884</v>
      </c>
      <c r="F219" s="5" t="s">
        <v>1884</v>
      </c>
      <c r="G219" s="5" t="s">
        <v>1885</v>
      </c>
      <c r="I219" s="5">
        <f t="shared" si="10"/>
        <v>-1.1872980642118058E-2</v>
      </c>
      <c r="K219" s="13">
        <f t="shared" ca="1" si="11"/>
        <v>0.26945027362237428</v>
      </c>
      <c r="M219">
        <f t="shared" ca="1" si="9"/>
        <v>570.21221858980107</v>
      </c>
    </row>
    <row r="220" spans="1:13" ht="22" x14ac:dyDescent="0.3">
      <c r="A220" s="21">
        <v>35</v>
      </c>
      <c r="B220" s="6">
        <v>45843</v>
      </c>
      <c r="C220" s="5">
        <v>429.56</v>
      </c>
      <c r="D220" s="5">
        <v>851</v>
      </c>
      <c r="E220" s="5" t="s">
        <v>1625</v>
      </c>
      <c r="F220" s="5" t="s">
        <v>1886</v>
      </c>
      <c r="G220" s="5" t="s">
        <v>1887</v>
      </c>
      <c r="I220" s="5">
        <f t="shared" si="10"/>
        <v>-4.650682897421099E-3</v>
      </c>
      <c r="K220" s="13">
        <f t="shared" ca="1" si="11"/>
        <v>-1.5949576129244061</v>
      </c>
      <c r="M220">
        <f t="shared" ca="1" si="9"/>
        <v>566.48679220645045</v>
      </c>
    </row>
    <row r="221" spans="1:13" ht="22" x14ac:dyDescent="0.3">
      <c r="A221" s="21">
        <v>34</v>
      </c>
      <c r="B221" s="6">
        <v>45813</v>
      </c>
      <c r="C221" s="5">
        <v>431.56240000000003</v>
      </c>
      <c r="D221" s="5">
        <v>223</v>
      </c>
      <c r="E221" s="5" t="s">
        <v>1888</v>
      </c>
      <c r="F221" s="5" t="s">
        <v>1888</v>
      </c>
      <c r="G221" s="5" t="s">
        <v>1889</v>
      </c>
      <c r="I221" s="5">
        <f t="shared" si="10"/>
        <v>-1.933897838189047E-2</v>
      </c>
      <c r="K221" s="13">
        <f t="shared" ca="1" si="11"/>
        <v>-0.66478857007328718</v>
      </c>
      <c r="M221">
        <f t="shared" ca="1" si="9"/>
        <v>590.28947244715175</v>
      </c>
    </row>
    <row r="222" spans="1:13" ht="22" x14ac:dyDescent="0.3">
      <c r="A222" s="21">
        <v>33</v>
      </c>
      <c r="B222" s="6">
        <v>45782</v>
      </c>
      <c r="C222" s="5">
        <v>439.9896</v>
      </c>
      <c r="D222" s="5">
        <v>998</v>
      </c>
      <c r="E222" s="5" t="s">
        <v>1890</v>
      </c>
      <c r="F222" s="5" t="s">
        <v>1891</v>
      </c>
      <c r="G222" s="5" t="s">
        <v>1890</v>
      </c>
      <c r="I222" s="5">
        <f t="shared" si="10"/>
        <v>-2.9058427300334699E-3</v>
      </c>
      <c r="K222" s="13">
        <f t="shared" ca="1" si="11"/>
        <v>1.2124957994808565</v>
      </c>
      <c r="M222">
        <f t="shared" ca="1" si="9"/>
        <v>600.62293805950264</v>
      </c>
    </row>
    <row r="223" spans="1:13" ht="22" x14ac:dyDescent="0.3">
      <c r="A223" s="21">
        <v>32</v>
      </c>
      <c r="B223" s="6">
        <v>45693</v>
      </c>
      <c r="C223" s="5">
        <v>441.27</v>
      </c>
      <c r="D223" s="5">
        <v>373</v>
      </c>
      <c r="E223" s="5" t="s">
        <v>1892</v>
      </c>
      <c r="F223" s="5" t="s">
        <v>1893</v>
      </c>
      <c r="G223" s="5" t="s">
        <v>1894</v>
      </c>
      <c r="I223" s="5">
        <f t="shared" si="10"/>
        <v>2.3141856230459723E-3</v>
      </c>
      <c r="K223" s="13">
        <f t="shared" ca="1" si="11"/>
        <v>0.84624177622020202</v>
      </c>
      <c r="M223">
        <f t="shared" ca="1" si="9"/>
        <v>582.47017798973604</v>
      </c>
    </row>
    <row r="224" spans="1:13" ht="22" x14ac:dyDescent="0.3">
      <c r="A224" s="21">
        <v>31</v>
      </c>
      <c r="B224" s="6">
        <v>45662</v>
      </c>
      <c r="C224" s="5">
        <v>440.25</v>
      </c>
      <c r="D224" s="5">
        <v>274</v>
      </c>
      <c r="E224" s="5" t="s">
        <v>1895</v>
      </c>
      <c r="F224" s="5" t="s">
        <v>1896</v>
      </c>
      <c r="G224" s="5" t="s">
        <v>1897</v>
      </c>
      <c r="I224" s="5">
        <f t="shared" si="10"/>
        <v>9.7005040272808429E-3</v>
      </c>
      <c r="K224" s="13">
        <f t="shared" ca="1" si="11"/>
        <v>0.47204022240041532</v>
      </c>
      <c r="M224">
        <f t="shared" ca="1" si="9"/>
        <v>570.18555312832405</v>
      </c>
    </row>
    <row r="225" spans="1:13" ht="22" x14ac:dyDescent="0.3">
      <c r="A225" s="21">
        <v>30</v>
      </c>
      <c r="B225" s="4" t="s">
        <v>596</v>
      </c>
      <c r="C225" s="5">
        <v>436</v>
      </c>
      <c r="D225" s="5">
        <v>646</v>
      </c>
      <c r="E225" s="5" t="s">
        <v>1898</v>
      </c>
      <c r="F225" s="5" t="s">
        <v>1899</v>
      </c>
      <c r="G225" s="5" t="s">
        <v>1900</v>
      </c>
      <c r="I225" s="5">
        <f t="shared" si="10"/>
        <v>-4.1975997567016421E-3</v>
      </c>
      <c r="K225" s="13">
        <f t="shared" ca="1" si="11"/>
        <v>1.4197727926344066</v>
      </c>
      <c r="M225">
        <f t="shared" ca="1" si="9"/>
        <v>563.53097285214687</v>
      </c>
    </row>
    <row r="226" spans="1:13" ht="22" x14ac:dyDescent="0.3">
      <c r="A226" s="21">
        <v>29</v>
      </c>
      <c r="B226" s="4" t="s">
        <v>597</v>
      </c>
      <c r="C226" s="5">
        <v>437.834</v>
      </c>
      <c r="D226" s="5">
        <v>689</v>
      </c>
      <c r="E226" s="5" t="s">
        <v>1901</v>
      </c>
      <c r="F226" s="5" t="s">
        <v>1902</v>
      </c>
      <c r="G226" s="5" t="s">
        <v>1516</v>
      </c>
      <c r="I226" s="5">
        <f t="shared" si="10"/>
        <v>3.9967393453908429E-2</v>
      </c>
      <c r="K226" s="13">
        <f t="shared" ca="1" si="11"/>
        <v>-1.4759034972334772</v>
      </c>
      <c r="M226">
        <f t="shared" ca="1" si="9"/>
        <v>543.60793723775168</v>
      </c>
    </row>
    <row r="227" spans="1:13" ht="22" x14ac:dyDescent="0.3">
      <c r="A227" s="21">
        <v>28</v>
      </c>
      <c r="B227" s="4" t="s">
        <v>599</v>
      </c>
      <c r="C227" s="5">
        <v>420.68</v>
      </c>
      <c r="D227" s="5">
        <v>338</v>
      </c>
      <c r="E227" s="5" t="s">
        <v>1903</v>
      </c>
      <c r="F227" s="5" t="s">
        <v>1670</v>
      </c>
      <c r="G227" s="5" t="s">
        <v>1904</v>
      </c>
      <c r="I227" s="5">
        <f t="shared" si="10"/>
        <v>-1.4911563576797349E-2</v>
      </c>
      <c r="K227" s="13">
        <f t="shared" ca="1" si="11"/>
        <v>0.76910830467663494</v>
      </c>
      <c r="M227">
        <f t="shared" ca="1" si="9"/>
        <v>564.72603537495434</v>
      </c>
    </row>
    <row r="228" spans="1:13" ht="22" x14ac:dyDescent="0.3">
      <c r="A228" s="21">
        <v>27</v>
      </c>
      <c r="B228" s="4" t="s">
        <v>600</v>
      </c>
      <c r="C228" s="5">
        <v>427</v>
      </c>
      <c r="D228" s="5">
        <v>1006</v>
      </c>
      <c r="E228" s="5" t="s">
        <v>1905</v>
      </c>
      <c r="F228" s="5" t="s">
        <v>1906</v>
      </c>
      <c r="G228" s="5" t="s">
        <v>1907</v>
      </c>
      <c r="I228" s="5">
        <f t="shared" si="10"/>
        <v>6.9892391219905647E-3</v>
      </c>
      <c r="K228" s="13">
        <f t="shared" ca="1" si="11"/>
        <v>0.73563915985083983</v>
      </c>
      <c r="M228">
        <f t="shared" ca="1" si="9"/>
        <v>553.90798472388235</v>
      </c>
    </row>
    <row r="229" spans="1:13" ht="22" x14ac:dyDescent="0.3">
      <c r="A229" s="21">
        <v>26</v>
      </c>
      <c r="B229" s="4" t="s">
        <v>601</v>
      </c>
      <c r="C229" s="5">
        <v>424.02600000000001</v>
      </c>
      <c r="D229" s="5">
        <v>341</v>
      </c>
      <c r="E229" s="5" t="s">
        <v>1908</v>
      </c>
      <c r="F229" s="5" t="s">
        <v>1909</v>
      </c>
      <c r="G229" s="5" t="s">
        <v>1910</v>
      </c>
      <c r="I229" s="5">
        <f t="shared" si="10"/>
        <v>7.6911647412103434E-4</v>
      </c>
      <c r="K229" s="13">
        <f t="shared" ca="1" si="11"/>
        <v>-0.40805411387883478</v>
      </c>
      <c r="M229">
        <f t="shared" ca="1" si="9"/>
        <v>543.76272598732828</v>
      </c>
    </row>
    <row r="230" spans="1:13" ht="22" x14ac:dyDescent="0.3">
      <c r="A230" s="21">
        <v>25</v>
      </c>
      <c r="B230" s="4" t="s">
        <v>602</v>
      </c>
      <c r="C230" s="5">
        <v>423.7</v>
      </c>
      <c r="D230" s="5">
        <v>368</v>
      </c>
      <c r="E230" s="5" t="s">
        <v>1625</v>
      </c>
      <c r="F230" s="5" t="s">
        <v>1911</v>
      </c>
      <c r="G230" s="5" t="s">
        <v>1912</v>
      </c>
      <c r="I230" s="5">
        <f t="shared" si="10"/>
        <v>4.2229246527549336E-2</v>
      </c>
      <c r="K230" s="13">
        <f t="shared" ca="1" si="11"/>
        <v>-1.4059378803867577</v>
      </c>
      <c r="M230">
        <f t="shared" ca="1" si="9"/>
        <v>549.65835365908083</v>
      </c>
    </row>
    <row r="231" spans="1:13" ht="22" x14ac:dyDescent="0.3">
      <c r="A231" s="21">
        <v>24</v>
      </c>
      <c r="B231" s="4" t="s">
        <v>603</v>
      </c>
      <c r="C231" s="5">
        <v>406.18</v>
      </c>
      <c r="D231" s="5">
        <v>532</v>
      </c>
      <c r="E231" s="5" t="s">
        <v>1913</v>
      </c>
      <c r="F231" s="5" t="s">
        <v>1914</v>
      </c>
      <c r="G231" s="5" t="s">
        <v>1913</v>
      </c>
      <c r="I231" s="5">
        <f t="shared" si="10"/>
        <v>5.2455238104246682E-2</v>
      </c>
      <c r="K231" s="13">
        <f t="shared" ca="1" si="11"/>
        <v>-1.8810854302511222</v>
      </c>
      <c r="M231">
        <f t="shared" ca="1" si="9"/>
        <v>569.98997881737296</v>
      </c>
    </row>
    <row r="232" spans="1:13" ht="22" x14ac:dyDescent="0.3">
      <c r="A232" s="21">
        <v>23</v>
      </c>
      <c r="B232" s="4" t="s">
        <v>604</v>
      </c>
      <c r="C232" s="5">
        <v>385.42290000000003</v>
      </c>
      <c r="D232" s="5">
        <v>225</v>
      </c>
      <c r="E232" s="5" t="s">
        <v>1915</v>
      </c>
      <c r="F232" s="5" t="s">
        <v>1916</v>
      </c>
      <c r="G232" s="5" t="s">
        <v>1917</v>
      </c>
      <c r="I232" s="5">
        <f t="shared" si="10"/>
        <v>1.6593908398722768E-2</v>
      </c>
      <c r="K232" s="13">
        <f t="shared" ca="1" si="11"/>
        <v>0.1399683410236767</v>
      </c>
      <c r="M232">
        <f t="shared" ca="1" si="9"/>
        <v>598.30501059272706</v>
      </c>
    </row>
    <row r="233" spans="1:13" ht="22" x14ac:dyDescent="0.3">
      <c r="A233" s="21">
        <v>22</v>
      </c>
      <c r="B233" s="4" t="s">
        <v>605</v>
      </c>
      <c r="C233" s="5">
        <v>379.08</v>
      </c>
      <c r="D233" s="5">
        <v>271</v>
      </c>
      <c r="E233" s="5" t="s">
        <v>1918</v>
      </c>
      <c r="F233" s="5" t="s">
        <v>1919</v>
      </c>
      <c r="G233" s="5" t="s">
        <v>1918</v>
      </c>
      <c r="I233" s="5">
        <f t="shared" si="10"/>
        <v>-5.6818334674311188E-3</v>
      </c>
      <c r="K233" s="13">
        <f t="shared" ca="1" si="11"/>
        <v>0.5233210978653341</v>
      </c>
      <c r="M233">
        <f t="shared" ca="1" si="9"/>
        <v>596.36896890622552</v>
      </c>
    </row>
    <row r="234" spans="1:13" ht="22" x14ac:dyDescent="0.3">
      <c r="A234" s="21">
        <v>21</v>
      </c>
      <c r="B234" s="4" t="s">
        <v>606</v>
      </c>
      <c r="C234" s="5">
        <v>381.24</v>
      </c>
      <c r="D234" s="5">
        <v>342</v>
      </c>
      <c r="E234" s="5" t="s">
        <v>1920</v>
      </c>
      <c r="F234" s="5" t="s">
        <v>1921</v>
      </c>
      <c r="G234" s="5" t="s">
        <v>1922</v>
      </c>
      <c r="I234" s="5">
        <f t="shared" si="10"/>
        <v>-1.1578912027941257E-2</v>
      </c>
      <c r="K234" s="13">
        <f t="shared" ca="1" si="11"/>
        <v>0.74963824779479116</v>
      </c>
      <c r="M234">
        <f t="shared" ca="1" si="9"/>
        <v>588.63578030096176</v>
      </c>
    </row>
    <row r="235" spans="1:13" ht="22" x14ac:dyDescent="0.3">
      <c r="A235" s="21">
        <v>20</v>
      </c>
      <c r="B235" s="4" t="s">
        <v>607</v>
      </c>
      <c r="C235" s="5">
        <v>385.68</v>
      </c>
      <c r="D235" s="5">
        <v>265</v>
      </c>
      <c r="E235" s="5" t="s">
        <v>1923</v>
      </c>
      <c r="F235" s="5" t="s">
        <v>1924</v>
      </c>
      <c r="G235" s="5" t="s">
        <v>1925</v>
      </c>
      <c r="I235" s="5">
        <f t="shared" si="10"/>
        <v>-5.352791959281511E-3</v>
      </c>
      <c r="K235" s="13">
        <f t="shared" ca="1" si="11"/>
        <v>0.96945475424327388</v>
      </c>
      <c r="M235">
        <f t="shared" ca="1" si="9"/>
        <v>577.64746618366667</v>
      </c>
    </row>
    <row r="236" spans="1:13" ht="22" x14ac:dyDescent="0.3">
      <c r="A236" s="21">
        <v>19</v>
      </c>
      <c r="B236" s="4" t="s">
        <v>609</v>
      </c>
      <c r="C236" s="5">
        <v>387.75</v>
      </c>
      <c r="D236" s="5">
        <v>1653</v>
      </c>
      <c r="E236" s="5" t="s">
        <v>1926</v>
      </c>
      <c r="F236" s="5" t="s">
        <v>1927</v>
      </c>
      <c r="G236" s="5" t="s">
        <v>1928</v>
      </c>
      <c r="I236" s="5">
        <f t="shared" si="10"/>
        <v>-3.7259757862670106E-2</v>
      </c>
      <c r="K236" s="13">
        <f t="shared" ca="1" si="11"/>
        <v>0.75936301757359492</v>
      </c>
      <c r="M236">
        <f t="shared" ca="1" si="9"/>
        <v>563.68429559026788</v>
      </c>
    </row>
    <row r="237" spans="1:13" ht="22" x14ac:dyDescent="0.3">
      <c r="A237" s="21">
        <v>18</v>
      </c>
      <c r="B237" s="6">
        <v>45965</v>
      </c>
      <c r="C237" s="5">
        <v>402.47</v>
      </c>
      <c r="D237" s="5">
        <v>409</v>
      </c>
      <c r="E237" s="5" t="s">
        <v>1929</v>
      </c>
      <c r="F237" s="5" t="s">
        <v>1930</v>
      </c>
      <c r="G237" s="5" t="s">
        <v>1931</v>
      </c>
      <c r="I237" s="5">
        <f t="shared" si="10"/>
        <v>2.8497485249118881E-2</v>
      </c>
      <c r="K237" s="13">
        <f t="shared" ca="1" si="11"/>
        <v>0.75160029542158679</v>
      </c>
      <c r="M237">
        <f t="shared" ca="1" si="9"/>
        <v>553.02410914546294</v>
      </c>
    </row>
    <row r="238" spans="1:13" ht="22" x14ac:dyDescent="0.3">
      <c r="A238" s="21">
        <v>17</v>
      </c>
      <c r="B238" s="6">
        <v>45934</v>
      </c>
      <c r="C238" s="5">
        <v>391.16250000000002</v>
      </c>
      <c r="D238" s="5">
        <v>372</v>
      </c>
      <c r="E238" s="5" t="s">
        <v>1932</v>
      </c>
      <c r="F238" s="5" t="s">
        <v>1933</v>
      </c>
      <c r="G238" s="5" t="s">
        <v>1934</v>
      </c>
      <c r="I238" s="5">
        <f t="shared" si="10"/>
        <v>-1.2291136584281048E-2</v>
      </c>
      <c r="K238" s="13">
        <f t="shared" ca="1" si="11"/>
        <v>2.5790160185819242</v>
      </c>
      <c r="M238">
        <f t="shared" ca="1" si="9"/>
        <v>542.6733233179084</v>
      </c>
    </row>
    <row r="239" spans="1:13" ht="22" x14ac:dyDescent="0.3">
      <c r="A239" s="21">
        <v>16</v>
      </c>
      <c r="B239" s="6">
        <v>45904</v>
      </c>
      <c r="C239" s="5">
        <v>396</v>
      </c>
      <c r="D239" s="5">
        <v>614</v>
      </c>
      <c r="E239" s="5" t="s">
        <v>1935</v>
      </c>
      <c r="F239" s="5" t="s">
        <v>1936</v>
      </c>
      <c r="G239" s="5" t="s">
        <v>1937</v>
      </c>
      <c r="I239" s="5">
        <f t="shared" si="10"/>
        <v>5.4125584365062984E-2</v>
      </c>
      <c r="K239" s="13">
        <f t="shared" ca="1" si="11"/>
        <v>-0.92354431495754152</v>
      </c>
      <c r="M239">
        <f t="shared" ca="1" si="9"/>
        <v>508.18524505372756</v>
      </c>
    </row>
    <row r="240" spans="1:13" ht="22" x14ac:dyDescent="0.3">
      <c r="A240" s="21">
        <v>15</v>
      </c>
      <c r="B240" s="6">
        <v>45873</v>
      </c>
      <c r="C240" s="5">
        <v>375.13600000000002</v>
      </c>
      <c r="D240" s="5">
        <v>880</v>
      </c>
      <c r="E240" s="5" t="s">
        <v>1938</v>
      </c>
      <c r="F240" s="5" t="s">
        <v>1939</v>
      </c>
      <c r="G240" s="5" t="s">
        <v>1940</v>
      </c>
      <c r="I240" s="5">
        <f t="shared" si="10"/>
        <v>1.5408559124278298E-2</v>
      </c>
      <c r="K240" s="13">
        <f t="shared" ca="1" si="11"/>
        <v>-3.1231733507105439E-2</v>
      </c>
      <c r="M240">
        <f t="shared" ca="1" si="9"/>
        <v>520.51694341280938</v>
      </c>
    </row>
    <row r="241" spans="1:13" ht="22" x14ac:dyDescent="0.3">
      <c r="A241" s="21">
        <v>14</v>
      </c>
      <c r="B241" s="6">
        <v>45842</v>
      </c>
      <c r="C241" s="5">
        <v>369.4</v>
      </c>
      <c r="D241" s="5">
        <v>822</v>
      </c>
      <c r="E241" s="5" t="s">
        <v>1941</v>
      </c>
      <c r="F241" s="5" t="s">
        <v>1942</v>
      </c>
      <c r="G241" s="5" t="s">
        <v>1943</v>
      </c>
      <c r="I241" s="5">
        <f t="shared" si="10"/>
        <v>3.5254273801639258E-3</v>
      </c>
      <c r="K241" s="13">
        <f t="shared" ca="1" si="11"/>
        <v>0.94935009476374255</v>
      </c>
      <c r="M241">
        <f t="shared" ca="1" si="9"/>
        <v>521.11079928796039</v>
      </c>
    </row>
    <row r="242" spans="1:13" ht="22" x14ac:dyDescent="0.3">
      <c r="A242" s="21">
        <v>13</v>
      </c>
      <c r="B242" s="6">
        <v>45751</v>
      </c>
      <c r="C242" s="5">
        <v>368.1</v>
      </c>
      <c r="D242" s="5">
        <v>1239</v>
      </c>
      <c r="E242" s="5" t="s">
        <v>1931</v>
      </c>
      <c r="F242" s="5" t="s">
        <v>1931</v>
      </c>
      <c r="G242" s="5" t="s">
        <v>1944</v>
      </c>
      <c r="I242" s="5">
        <f t="shared" si="10"/>
        <v>-4.6202116699622486E-2</v>
      </c>
      <c r="K242" s="13">
        <f t="shared" ca="1" si="11"/>
        <v>-0.44133509663416581</v>
      </c>
      <c r="M242">
        <f t="shared" ca="1" si="9"/>
        <v>508.77596838190209</v>
      </c>
    </row>
    <row r="243" spans="1:13" ht="22" x14ac:dyDescent="0.3">
      <c r="A243" s="21">
        <v>12</v>
      </c>
      <c r="B243" s="6">
        <v>45720</v>
      </c>
      <c r="C243" s="5">
        <v>385.50599999999997</v>
      </c>
      <c r="D243" s="5">
        <v>499</v>
      </c>
      <c r="E243" s="5" t="s">
        <v>1945</v>
      </c>
      <c r="F243" s="5" t="s">
        <v>1946</v>
      </c>
      <c r="G243" s="5" t="s">
        <v>1947</v>
      </c>
      <c r="I243" s="5">
        <f t="shared" si="10"/>
        <v>1.5596763958765081E-2</v>
      </c>
      <c r="K243" s="13">
        <f t="shared" ca="1" si="11"/>
        <v>1.3693459315922896</v>
      </c>
      <c r="M243">
        <f t="shared" ca="1" si="9"/>
        <v>514.73048478237058</v>
      </c>
    </row>
    <row r="244" spans="1:13" ht="22" x14ac:dyDescent="0.3">
      <c r="A244" s="21">
        <v>11</v>
      </c>
      <c r="B244" s="6">
        <v>45692</v>
      </c>
      <c r="C244" s="5">
        <v>379.54</v>
      </c>
      <c r="D244" s="5">
        <v>4690</v>
      </c>
      <c r="E244" s="5" t="s">
        <v>1948</v>
      </c>
      <c r="F244" s="5" t="s">
        <v>1949</v>
      </c>
      <c r="G244" s="5" t="s">
        <v>1948</v>
      </c>
      <c r="I244" s="5">
        <f t="shared" si="10"/>
        <v>-3.4456036929642053E-3</v>
      </c>
      <c r="K244" s="13">
        <f t="shared" ca="1" si="11"/>
        <v>1.3087638238119024</v>
      </c>
      <c r="M244">
        <f t="shared" ca="1" si="9"/>
        <v>497.17394210429933</v>
      </c>
    </row>
    <row r="245" spans="1:13" ht="22" x14ac:dyDescent="0.3">
      <c r="A245" s="21">
        <v>10</v>
      </c>
      <c r="B245" s="6">
        <v>45661</v>
      </c>
      <c r="C245" s="5">
        <v>380.85</v>
      </c>
      <c r="D245" s="5">
        <v>138</v>
      </c>
      <c r="E245" s="5" t="s">
        <v>1950</v>
      </c>
      <c r="F245" s="5" t="s">
        <v>1951</v>
      </c>
      <c r="G245" s="5" t="s">
        <v>1952</v>
      </c>
      <c r="I245" s="5">
        <f t="shared" si="10"/>
        <v>2.9632587292595325E-2</v>
      </c>
      <c r="K245" s="13">
        <f t="shared" ca="1" si="11"/>
        <v>0.23534725016282804</v>
      </c>
      <c r="M245">
        <f t="shared" ca="1" si="9"/>
        <v>480.96133797434419</v>
      </c>
    </row>
    <row r="246" spans="1:13" ht="22" x14ac:dyDescent="0.3">
      <c r="A246" s="21">
        <v>9</v>
      </c>
      <c r="B246" s="4" t="s">
        <v>625</v>
      </c>
      <c r="C246" s="5">
        <v>369.73</v>
      </c>
      <c r="D246" s="5">
        <v>414</v>
      </c>
      <c r="E246" s="5" t="s">
        <v>1953</v>
      </c>
      <c r="F246" s="5" t="s">
        <v>1954</v>
      </c>
      <c r="G246" s="5" t="s">
        <v>1955</v>
      </c>
      <c r="I246" s="5">
        <f t="shared" si="10"/>
        <v>1.1369940786877031E-2</v>
      </c>
      <c r="K246" s="13">
        <f t="shared" ca="1" si="11"/>
        <v>0.70144744060971786</v>
      </c>
      <c r="M246">
        <f t="shared" ca="1" si="9"/>
        <v>478.2362308470727</v>
      </c>
    </row>
    <row r="247" spans="1:13" ht="22" x14ac:dyDescent="0.3">
      <c r="A247" s="21">
        <v>8</v>
      </c>
      <c r="B247" s="4" t="s">
        <v>627</v>
      </c>
      <c r="C247" s="5">
        <v>365.55</v>
      </c>
      <c r="D247" s="5">
        <v>818</v>
      </c>
      <c r="E247" s="5" t="s">
        <v>1956</v>
      </c>
      <c r="F247" s="5" t="s">
        <v>1957</v>
      </c>
      <c r="G247" s="5" t="s">
        <v>1958</v>
      </c>
      <c r="I247" s="5">
        <f t="shared" si="10"/>
        <v>3.1509033535215281E-3</v>
      </c>
      <c r="K247" s="13">
        <f t="shared" ca="1" si="11"/>
        <v>2.6499623695276875</v>
      </c>
      <c r="M247">
        <f t="shared" ca="1" si="9"/>
        <v>469.88794956927217</v>
      </c>
    </row>
    <row r="248" spans="1:13" ht="22" x14ac:dyDescent="0.3">
      <c r="A248" s="21">
        <v>7</v>
      </c>
      <c r="B248" s="4" t="s">
        <v>629</v>
      </c>
      <c r="C248" s="5">
        <v>364.4</v>
      </c>
      <c r="D248" s="5">
        <v>95</v>
      </c>
      <c r="E248" s="5" t="s">
        <v>1959</v>
      </c>
      <c r="F248" s="5" t="s">
        <v>1960</v>
      </c>
      <c r="G248" s="5" t="s">
        <v>1961</v>
      </c>
      <c r="I248" s="5">
        <f t="shared" si="10"/>
        <v>-6.2499126274477845E-3</v>
      </c>
      <c r="K248" s="13">
        <f t="shared" ca="1" si="11"/>
        <v>0.50797012179140877</v>
      </c>
      <c r="M248">
        <f t="shared" ca="1" si="9"/>
        <v>439.22732647968962</v>
      </c>
    </row>
    <row r="249" spans="1:13" ht="22" x14ac:dyDescent="0.3">
      <c r="A249" s="21">
        <v>6</v>
      </c>
      <c r="B249" s="4" t="s">
        <v>632</v>
      </c>
      <c r="C249" s="5">
        <v>366.68459999999999</v>
      </c>
      <c r="D249" s="5">
        <v>326</v>
      </c>
      <c r="E249" s="5" t="s">
        <v>1962</v>
      </c>
      <c r="F249" s="5" t="s">
        <v>1962</v>
      </c>
      <c r="G249" s="5" t="s">
        <v>1963</v>
      </c>
      <c r="I249" s="5">
        <f t="shared" si="10"/>
        <v>-5.0137683413558953E-2</v>
      </c>
      <c r="K249" s="13">
        <f t="shared" ca="1" si="11"/>
        <v>0.50582228662309192</v>
      </c>
      <c r="M249">
        <f t="shared" ca="1" si="9"/>
        <v>433.70216498228257</v>
      </c>
    </row>
    <row r="250" spans="1:13" ht="22" x14ac:dyDescent="0.3">
      <c r="A250" s="21">
        <v>5</v>
      </c>
      <c r="B250" s="4" t="s">
        <v>634</v>
      </c>
      <c r="C250" s="5">
        <v>385.53800000000001</v>
      </c>
      <c r="D250" s="5">
        <v>162</v>
      </c>
      <c r="E250" s="5" t="s">
        <v>1964</v>
      </c>
      <c r="F250" s="5" t="s">
        <v>1965</v>
      </c>
      <c r="G250" s="5" t="s">
        <v>1966</v>
      </c>
      <c r="I250" s="5">
        <f t="shared" si="10"/>
        <v>2.9074661095740417E-2</v>
      </c>
      <c r="K250" s="13">
        <f t="shared" ca="1" si="11"/>
        <v>-0.14708473792751905</v>
      </c>
      <c r="M250">
        <f t="shared" ca="1" si="9"/>
        <v>428.2700463521287</v>
      </c>
    </row>
    <row r="251" spans="1:13" ht="22" x14ac:dyDescent="0.3">
      <c r="A251" s="21">
        <v>4</v>
      </c>
      <c r="B251" s="4" t="s">
        <v>635</v>
      </c>
      <c r="C251" s="5">
        <v>374.49</v>
      </c>
      <c r="D251" s="5">
        <v>385</v>
      </c>
      <c r="E251" s="5" t="s">
        <v>1967</v>
      </c>
      <c r="F251" s="5" t="s">
        <v>1968</v>
      </c>
      <c r="G251" s="5" t="s">
        <v>1969</v>
      </c>
      <c r="I251" s="5">
        <f t="shared" si="10"/>
        <v>-3.5337141194272448E-2</v>
      </c>
      <c r="K251" s="13">
        <f t="shared" ca="1" si="11"/>
        <v>0.78226823672432377</v>
      </c>
      <c r="M251">
        <f t="shared" ca="1" si="9"/>
        <v>430.03178057201643</v>
      </c>
    </row>
    <row r="252" spans="1:13" ht="22" x14ac:dyDescent="0.3">
      <c r="A252" s="21">
        <v>3</v>
      </c>
      <c r="B252" s="4" t="s">
        <v>638</v>
      </c>
      <c r="C252" s="5">
        <v>387.96</v>
      </c>
      <c r="D252" s="5">
        <v>244</v>
      </c>
      <c r="E252" s="5" t="s">
        <v>1970</v>
      </c>
      <c r="F252" s="5" t="s">
        <v>1971</v>
      </c>
      <c r="G252" s="5" t="s">
        <v>1972</v>
      </c>
      <c r="I252" s="5">
        <f t="shared" si="10"/>
        <v>-1.6742246981777065E-2</v>
      </c>
      <c r="K252" s="13">
        <f t="shared" ca="1" si="11"/>
        <v>1.8720957918528722</v>
      </c>
      <c r="M252">
        <f t="shared" ca="1" si="9"/>
        <v>421.6519386983432</v>
      </c>
    </row>
    <row r="253" spans="1:13" ht="22" x14ac:dyDescent="0.3">
      <c r="A253" s="21">
        <v>2</v>
      </c>
      <c r="B253" s="4" t="s">
        <v>640</v>
      </c>
      <c r="C253" s="5">
        <v>394.51</v>
      </c>
      <c r="D253" s="5">
        <v>147</v>
      </c>
      <c r="E253" s="5" t="s">
        <v>1973</v>
      </c>
      <c r="F253" s="5" t="s">
        <v>1974</v>
      </c>
      <c r="G253" s="5" t="s">
        <v>1975</v>
      </c>
      <c r="I253" s="5">
        <f t="shared" si="10"/>
        <v>-1.5827370770100657E-3</v>
      </c>
      <c r="K253" s="13">
        <f t="shared" ca="1" si="11"/>
        <v>0.69255762838183776</v>
      </c>
      <c r="M253">
        <f ca="1">M254*EXP((($P$3-$P$4/2)+$P$5*K253))</f>
        <v>402.06359501999106</v>
      </c>
    </row>
    <row r="254" spans="1:13" ht="22" x14ac:dyDescent="0.3">
      <c r="A254" s="21">
        <v>1</v>
      </c>
      <c r="B254" s="4" t="s">
        <v>643</v>
      </c>
      <c r="C254" s="5">
        <v>395.13490000000002</v>
      </c>
      <c r="D254" s="5">
        <v>225</v>
      </c>
      <c r="E254" s="5" t="s">
        <v>1976</v>
      </c>
      <c r="F254" s="5" t="s">
        <v>1977</v>
      </c>
      <c r="G254" s="5" t="s">
        <v>1978</v>
      </c>
      <c r="I254" s="5">
        <v>0</v>
      </c>
      <c r="K254" s="13">
        <f t="shared" ca="1" si="11"/>
        <v>0.8737757849030946</v>
      </c>
      <c r="M254">
        <f>C254</f>
        <v>395.13490000000002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Kenechukwu</vt:lpstr>
      <vt:lpstr>Morgan</vt:lpstr>
      <vt:lpstr>Lisa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Morgan Maurice Jordan-Ferguson</cp:lastModifiedBy>
  <cp:revision/>
  <dcterms:created xsi:type="dcterms:W3CDTF">2026-03-18T15:22:59Z</dcterms:created>
  <dcterms:modified xsi:type="dcterms:W3CDTF">2026-04-13T10:48:38Z</dcterms:modified>
  <cp:category/>
  <cp:contentStatus/>
</cp:coreProperties>
</file>