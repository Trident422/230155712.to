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ece/Library/Mobile Documents/com~apple~CloudDocs/"/>
    </mc:Choice>
  </mc:AlternateContent>
  <xr:revisionPtr revIDLastSave="0" documentId="8_{86AACF22-7F7F-3743-A596-CF36606FDA53}" xr6:coauthVersionLast="47" xr6:coauthVersionMax="47" xr10:uidLastSave="{00000000-0000-0000-0000-000000000000}"/>
  <bookViews>
    <workbookView xWindow="0" yWindow="600" windowWidth="28160" windowHeight="15520" activeTab="3" xr2:uid="{91568788-B7EF-2841-8F3C-2BAB16CDAD7C}"/>
  </bookViews>
  <sheets>
    <sheet name="Kenechukwu" sheetId="1" r:id="rId1"/>
    <sheet name="Morgan" sheetId="2" r:id="rId2"/>
    <sheet name="Lisa" sheetId="3" r:id="rId3"/>
    <sheet name="Portfolio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B8" i="8"/>
  <c r="AR2" i="8" a="1"/>
  <c r="AS2" i="8" a="1"/>
  <c r="AS2" i="8" s="1"/>
  <c r="F8" i="8"/>
  <c r="O9" i="1"/>
  <c r="F7" i="8"/>
  <c r="N9" i="1"/>
  <c r="F6" i="8"/>
  <c r="M9" i="1"/>
  <c r="D8" i="8"/>
  <c r="D7" i="8"/>
  <c r="D6" i="8"/>
  <c r="M5" i="1"/>
  <c r="M6" i="1" s="1"/>
  <c r="B7" i="8"/>
  <c r="M4" i="1"/>
  <c r="D3" i="8"/>
  <c r="O10" i="3"/>
  <c r="M5" i="3"/>
  <c r="M6" i="3" s="1"/>
  <c r="M4" i="3"/>
  <c r="I5" i="2"/>
  <c r="I6" i="2"/>
  <c r="I7" i="2"/>
  <c r="I8" i="2"/>
  <c r="I9" i="2"/>
  <c r="I10" i="2"/>
  <c r="N10" i="2"/>
  <c r="N9" i="3"/>
  <c r="M9" i="3"/>
  <c r="M3" i="2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4" i="3"/>
  <c r="I254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O9" i="3" s="1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4" i="1"/>
  <c r="N9" i="2" s="1"/>
  <c r="H3" i="8" l="1"/>
  <c r="K4" i="8" s="1"/>
  <c r="AR2" i="8"/>
  <c r="F3" i="8"/>
  <c r="G3" i="8" s="1"/>
  <c r="K40" i="8" s="1"/>
  <c r="N10" i="1"/>
  <c r="M10" i="3"/>
  <c r="N10" i="3"/>
  <c r="M10" i="2"/>
  <c r="O10" i="2"/>
  <c r="M10" i="1"/>
  <c r="M4" i="2"/>
  <c r="M5" i="2" s="1"/>
  <c r="M9" i="2"/>
  <c r="O9" i="2"/>
  <c r="O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<sst xmlns="http://schemas.openxmlformats.org/spreadsheetml/2006/main" count="2784" uniqueCount="2009">
  <si>
    <t>Date</t>
  </si>
  <si>
    <t>Close/Last</t>
  </si>
  <si>
    <t>Volume</t>
  </si>
  <si>
    <t>Open</t>
  </si>
  <si>
    <t>High</t>
  </si>
  <si>
    <t>Low</t>
  </si>
  <si>
    <t>03/17/2026</t>
  </si>
  <si>
    <t>$0.632</t>
  </si>
  <si>
    <t>$0.6599</t>
  </si>
  <si>
    <t>$0.6292</t>
  </si>
  <si>
    <t>03/16/2026</t>
  </si>
  <si>
    <t>$0.62</t>
  </si>
  <si>
    <t>$0.6441</t>
  </si>
  <si>
    <t>$0.60</t>
  </si>
  <si>
    <t>03/13/2026</t>
  </si>
  <si>
    <t>$0.63</t>
  </si>
  <si>
    <t>$0.6206</t>
  </si>
  <si>
    <t>$0.6371</t>
  </si>
  <si>
    <t>$0.6201</t>
  </si>
  <si>
    <t>$0.6017</t>
  </si>
  <si>
    <t>$0.6551</t>
  </si>
  <si>
    <t>$0.7665</t>
  </si>
  <si>
    <t>$0.6406</t>
  </si>
  <si>
    <t>$0.7033</t>
  </si>
  <si>
    <t>$0.654</t>
  </si>
  <si>
    <t>$0.6569</t>
  </si>
  <si>
    <t>$0.6175</t>
  </si>
  <si>
    <t>$0.6301</t>
  </si>
  <si>
    <t>$0.6491</t>
  </si>
  <si>
    <t>$0.7199</t>
  </si>
  <si>
    <t>$0.65</t>
  </si>
  <si>
    <t>$0.7296</t>
  </si>
  <si>
    <t>$0.611</t>
  </si>
  <si>
    <t>$0.61</t>
  </si>
  <si>
    <t>$0.6399</t>
  </si>
  <si>
    <t>$0.644</t>
  </si>
  <si>
    <t>$0.6131</t>
  </si>
  <si>
    <t>$0.6438</t>
  </si>
  <si>
    <t>$0.5988</t>
  </si>
  <si>
    <t>02/27/2026</t>
  </si>
  <si>
    <t>$0.6268</t>
  </si>
  <si>
    <t>02/26/2026</t>
  </si>
  <si>
    <t>$0.6855</t>
  </si>
  <si>
    <t>$0.6856</t>
  </si>
  <si>
    <t>$0.636</t>
  </si>
  <si>
    <t>02/25/2026</t>
  </si>
  <si>
    <t>$0.677</t>
  </si>
  <si>
    <t>$0.6895</t>
  </si>
  <si>
    <t>$0.6729</t>
  </si>
  <si>
    <t>02/24/2026</t>
  </si>
  <si>
    <t>$0.7289</t>
  </si>
  <si>
    <t>$0.6826</t>
  </si>
  <si>
    <t>02/23/2026</t>
  </si>
  <si>
    <t>$0.7399</t>
  </si>
  <si>
    <t>$0.7533</t>
  </si>
  <si>
    <t>$0.6709</t>
  </si>
  <si>
    <t>02/20/2026</t>
  </si>
  <si>
    <t>$0.7717</t>
  </si>
  <si>
    <t>$0.7988</t>
  </si>
  <si>
    <t>$0.7445</t>
  </si>
  <si>
    <t>02/19/2026</t>
  </si>
  <si>
    <t>$0.828</t>
  </si>
  <si>
    <t>$0.7623</t>
  </si>
  <si>
    <t>02/18/2026</t>
  </si>
  <si>
    <t>$0.7916</t>
  </si>
  <si>
    <t>$0.8316</t>
  </si>
  <si>
    <t>$0.8857</t>
  </si>
  <si>
    <t>02/17/2026</t>
  </si>
  <si>
    <t>$0.8466</t>
  </si>
  <si>
    <t>$0.8106</t>
  </si>
  <si>
    <t>02/13/2026</t>
  </si>
  <si>
    <t>$0.768</t>
  </si>
  <si>
    <t>$0.8424</t>
  </si>
  <si>
    <t>$0.7695</t>
  </si>
  <si>
    <t>$0.7764</t>
  </si>
  <si>
    <t>$0.75</t>
  </si>
  <si>
    <t>$0.772</t>
  </si>
  <si>
    <t>$0.7838</t>
  </si>
  <si>
    <t>$0.7521</t>
  </si>
  <si>
    <t>$0.752</t>
  </si>
  <si>
    <t>$0.82</t>
  </si>
  <si>
    <t>$0.825</t>
  </si>
  <si>
    <t>$0.80</t>
  </si>
  <si>
    <t>$0.84</t>
  </si>
  <si>
    <t>$0.8092</t>
  </si>
  <si>
    <t>$0.7466</t>
  </si>
  <si>
    <t>$0.8235</t>
  </si>
  <si>
    <t>$0.8485</t>
  </si>
  <si>
    <t>$0.7283</t>
  </si>
  <si>
    <t>$0.8292</t>
  </si>
  <si>
    <t>$0.8639</t>
  </si>
  <si>
    <t>$0.8242</t>
  </si>
  <si>
    <t>$0.8546</t>
  </si>
  <si>
    <t>$0.8699</t>
  </si>
  <si>
    <t>$0.815</t>
  </si>
  <si>
    <t>$0.86</t>
  </si>
  <si>
    <t>$0.8632</t>
  </si>
  <si>
    <t>$0.8363</t>
  </si>
  <si>
    <t>01/30/2026</t>
  </si>
  <si>
    <t>$0.818</t>
  </si>
  <si>
    <t>$0.8608</t>
  </si>
  <si>
    <t>01/29/2026</t>
  </si>
  <si>
    <t>$0.83</t>
  </si>
  <si>
    <t>$0.8452</t>
  </si>
  <si>
    <t>$0.779</t>
  </si>
  <si>
    <t>01/28/2026</t>
  </si>
  <si>
    <t>$0.7982</t>
  </si>
  <si>
    <t>$0.8273</t>
  </si>
  <si>
    <t>$0.7964</t>
  </si>
  <si>
    <t>01/27/2026</t>
  </si>
  <si>
    <t>$0.7737</t>
  </si>
  <si>
    <t>$0.8199</t>
  </si>
  <si>
    <t>$0.74</t>
  </si>
  <si>
    <t>01/26/2026</t>
  </si>
  <si>
    <t>$0.70</t>
  </si>
  <si>
    <t>$0.8105</t>
  </si>
  <si>
    <t>$0.8303</t>
  </si>
  <si>
    <t>01/23/2026</t>
  </si>
  <si>
    <t>$0.81</t>
  </si>
  <si>
    <t>$0.8875</t>
  </si>
  <si>
    <t>$0.8022</t>
  </si>
  <si>
    <t>01/22/2026</t>
  </si>
  <si>
    <t>$0.795</t>
  </si>
  <si>
    <t>01/21/2026</t>
  </si>
  <si>
    <t>$0.8891</t>
  </si>
  <si>
    <t>$0.90</t>
  </si>
  <si>
    <t>01/20/2026</t>
  </si>
  <si>
    <t>$0.71</t>
  </si>
  <si>
    <t>$0.6867</t>
  </si>
  <si>
    <t>01/16/2026</t>
  </si>
  <si>
    <t>$0.5363</t>
  </si>
  <si>
    <t>$0.6887</t>
  </si>
  <si>
    <t>01/15/2026</t>
  </si>
  <si>
    <t>$0.489</t>
  </si>
  <si>
    <t>$0.539</t>
  </si>
  <si>
    <t>$0.482</t>
  </si>
  <si>
    <t>01/14/2026</t>
  </si>
  <si>
    <t>$0.465</t>
  </si>
  <si>
    <t>$0.50</t>
  </si>
  <si>
    <t>$0.4624</t>
  </si>
  <si>
    <t>01/13/2026</t>
  </si>
  <si>
    <t>$0.452</t>
  </si>
  <si>
    <t>$0.4702</t>
  </si>
  <si>
    <t>$0.447</t>
  </si>
  <si>
    <t>$0.4675</t>
  </si>
  <si>
    <t>$0.453</t>
  </si>
  <si>
    <t>$0.469</t>
  </si>
  <si>
    <t>$0.4408</t>
  </si>
  <si>
    <t>$0.4743</t>
  </si>
  <si>
    <t>$0.477</t>
  </si>
  <si>
    <t>$0.4209</t>
  </si>
  <si>
    <t>$0.4258</t>
  </si>
  <si>
    <t>$0.49</t>
  </si>
  <si>
    <t>$0.4129</t>
  </si>
  <si>
    <t>$0.4015</t>
  </si>
  <si>
    <t>$0.4187</t>
  </si>
  <si>
    <t>$0.48</t>
  </si>
  <si>
    <t>$0.4001</t>
  </si>
  <si>
    <t>$0.47</t>
  </si>
  <si>
    <t>$0.4214</t>
  </si>
  <si>
    <t>$0.435</t>
  </si>
  <si>
    <t>$0.4989</t>
  </si>
  <si>
    <t>$0.4201</t>
  </si>
  <si>
    <t>12/31/2025</t>
  </si>
  <si>
    <t>$0.41</t>
  </si>
  <si>
    <t>$0.405</t>
  </si>
  <si>
    <t>$0.4177</t>
  </si>
  <si>
    <t>$0.388</t>
  </si>
  <si>
    <t>12/30/2025</t>
  </si>
  <si>
    <t>$0.4145</t>
  </si>
  <si>
    <t>$0.4199</t>
  </si>
  <si>
    <t>$0.3835</t>
  </si>
  <si>
    <t>12/29/2025</t>
  </si>
  <si>
    <t>$0.395</t>
  </si>
  <si>
    <t>$0.384</t>
  </si>
  <si>
    <t>12/26/2025</t>
  </si>
  <si>
    <t>$0.39</t>
  </si>
  <si>
    <t>$0.4275</t>
  </si>
  <si>
    <t>$0.4299</t>
  </si>
  <si>
    <t>12/24/2025</t>
  </si>
  <si>
    <t>$0.4279</t>
  </si>
  <si>
    <t>12/23/2025</t>
  </si>
  <si>
    <t>$0.425</t>
  </si>
  <si>
    <t>$0.3941</t>
  </si>
  <si>
    <t>12/22/2025</t>
  </si>
  <si>
    <t>$0.459</t>
  </si>
  <si>
    <t>$0.4662</t>
  </si>
  <si>
    <t>12/19/2025</t>
  </si>
  <si>
    <t>$0.4402</t>
  </si>
  <si>
    <t>$0.45</t>
  </si>
  <si>
    <t>12/18/2025</t>
  </si>
  <si>
    <t>$0.4551</t>
  </si>
  <si>
    <t>$0.4599</t>
  </si>
  <si>
    <t>$0.413</t>
  </si>
  <si>
    <t>12/17/2025</t>
  </si>
  <si>
    <t>$0.484</t>
  </si>
  <si>
    <t>$0.486</t>
  </si>
  <si>
    <t>12/16/2025</t>
  </si>
  <si>
    <t>$0.5341</t>
  </si>
  <si>
    <t>$0.54</t>
  </si>
  <si>
    <t>$0.4565</t>
  </si>
  <si>
    <t>12/15/2025</t>
  </si>
  <si>
    <t>$0.6004</t>
  </si>
  <si>
    <t>$0.6248</t>
  </si>
  <si>
    <t>$0.467</t>
  </si>
  <si>
    <t>$0.6501</t>
  </si>
  <si>
    <t>$0.687</t>
  </si>
  <si>
    <t>$0.6638</t>
  </si>
  <si>
    <t>$0.6899</t>
  </si>
  <si>
    <t>$0.6147</t>
  </si>
  <si>
    <t>$0.696</t>
  </si>
  <si>
    <t>$0.72</t>
  </si>
  <si>
    <t>$0.66</t>
  </si>
  <si>
    <t>$0.7413</t>
  </si>
  <si>
    <t>$0.6684</t>
  </si>
  <si>
    <t>$0.8103</t>
  </si>
  <si>
    <t>$0.73</t>
  </si>
  <si>
    <t>$0.78</t>
  </si>
  <si>
    <t>$0.7355</t>
  </si>
  <si>
    <t>$0.734</t>
  </si>
  <si>
    <t>$0.7899</t>
  </si>
  <si>
    <t>$0.701</t>
  </si>
  <si>
    <t>$0.79</t>
  </si>
  <si>
    <t>$0.716</t>
  </si>
  <si>
    <t>$0.816</t>
  </si>
  <si>
    <t>11/28/2025</t>
  </si>
  <si>
    <t>$0.7975</t>
  </si>
  <si>
    <t>$0.68</t>
  </si>
  <si>
    <t>11/26/2025</t>
  </si>
  <si>
    <t>$0.58</t>
  </si>
  <si>
    <t>$0.57</t>
  </si>
  <si>
    <t>11/25/2025</t>
  </si>
  <si>
    <t>$0.758</t>
  </si>
  <si>
    <t>$0.789</t>
  </si>
  <si>
    <t>$0.485</t>
  </si>
  <si>
    <t>11/24/2025</t>
  </si>
  <si>
    <t>$0.7518</t>
  </si>
  <si>
    <t>$1.20</t>
  </si>
  <si>
    <t>11/21/2025</t>
  </si>
  <si>
    <t>$0.9991</t>
  </si>
  <si>
    <t>$1.00</t>
  </si>
  <si>
    <t>$0.665</t>
  </si>
  <si>
    <t>11/20/2025</t>
  </si>
  <si>
    <t>$1.22</t>
  </si>
  <si>
    <t>$0.9281</t>
  </si>
  <si>
    <t>11/19/2025</t>
  </si>
  <si>
    <t>$1.26</t>
  </si>
  <si>
    <t>$1.30</t>
  </si>
  <si>
    <t>$1.345</t>
  </si>
  <si>
    <t>11/18/2025</t>
  </si>
  <si>
    <t>$1.48</t>
  </si>
  <si>
    <t>11/17/2025</t>
  </si>
  <si>
    <t>$1.90</t>
  </si>
  <si>
    <t>11/14/2025</t>
  </si>
  <si>
    <t>$1.36</t>
  </si>
  <si>
    <t>$1.10</t>
  </si>
  <si>
    <t>11/13/2025</t>
  </si>
  <si>
    <t>$1.51</t>
  </si>
  <si>
    <t>$1.5322</t>
  </si>
  <si>
    <t>$1.31</t>
  </si>
  <si>
    <t>$1.52</t>
  </si>
  <si>
    <t>$1.57</t>
  </si>
  <si>
    <t>$1.644</t>
  </si>
  <si>
    <t>$1.62</t>
  </si>
  <si>
    <t>$1.65</t>
  </si>
  <si>
    <t>$1.67</t>
  </si>
  <si>
    <t>$1.73</t>
  </si>
  <si>
    <t>$1.50</t>
  </si>
  <si>
    <t>$1.66</t>
  </si>
  <si>
    <t>$1.63</t>
  </si>
  <si>
    <t>$1.495</t>
  </si>
  <si>
    <t>$1.70</t>
  </si>
  <si>
    <t>$1.76</t>
  </si>
  <si>
    <t>$1.69</t>
  </si>
  <si>
    <t>$1.74</t>
  </si>
  <si>
    <t>$1.775</t>
  </si>
  <si>
    <t>$1.68</t>
  </si>
  <si>
    <t>$1.85</t>
  </si>
  <si>
    <t>$1.86</t>
  </si>
  <si>
    <t>$1.715</t>
  </si>
  <si>
    <t>$1.95</t>
  </si>
  <si>
    <t>$1.965</t>
  </si>
  <si>
    <t>$1.82</t>
  </si>
  <si>
    <t>10/31/2025</t>
  </si>
  <si>
    <t>$1.92</t>
  </si>
  <si>
    <t>$1.9756</t>
  </si>
  <si>
    <t>10/30/2025</t>
  </si>
  <si>
    <t>$2.00</t>
  </si>
  <si>
    <t>$2.0184</t>
  </si>
  <si>
    <t>$1.89</t>
  </si>
  <si>
    <t>10/29/2025</t>
  </si>
  <si>
    <t>$2.07</t>
  </si>
  <si>
    <t>$2.11</t>
  </si>
  <si>
    <t>$1.99</t>
  </si>
  <si>
    <t>10/28/2025</t>
  </si>
  <si>
    <t>$1.96</t>
  </si>
  <si>
    <t>10/27/2025</t>
  </si>
  <si>
    <t>$2.03</t>
  </si>
  <si>
    <t>$2.1092</t>
  </si>
  <si>
    <t>$1.98</t>
  </si>
  <si>
    <t>10/24/2025</t>
  </si>
  <si>
    <t>$2.19</t>
  </si>
  <si>
    <t>$2.04</t>
  </si>
  <si>
    <t>10/23/2025</t>
  </si>
  <si>
    <t>$2.18</t>
  </si>
  <si>
    <t>$2.26</t>
  </si>
  <si>
    <t>$2.01</t>
  </si>
  <si>
    <t>10/22/2025</t>
  </si>
  <si>
    <t>$2.15</t>
  </si>
  <si>
    <t>$2.20</t>
  </si>
  <si>
    <t>$2.25</t>
  </si>
  <si>
    <t>$2.1149</t>
  </si>
  <si>
    <t>10/21/2025</t>
  </si>
  <si>
    <t>$2.24</t>
  </si>
  <si>
    <t>$2.2692</t>
  </si>
  <si>
    <t>10/20/2025</t>
  </si>
  <si>
    <t>$2.23</t>
  </si>
  <si>
    <t>$2.318</t>
  </si>
  <si>
    <t>10/17/2025</t>
  </si>
  <si>
    <t>$2.41</t>
  </si>
  <si>
    <t>$2.43</t>
  </si>
  <si>
    <t>$2.1401</t>
  </si>
  <si>
    <t>10/16/2025</t>
  </si>
  <si>
    <t>$2.45</t>
  </si>
  <si>
    <t>$3.16</t>
  </si>
  <si>
    <t>$3.3299</t>
  </si>
  <si>
    <t>10/15/2025</t>
  </si>
  <si>
    <t>$3.24</t>
  </si>
  <si>
    <t>$3.25</t>
  </si>
  <si>
    <t>$2.94</t>
  </si>
  <si>
    <t>10/14/2025</t>
  </si>
  <si>
    <t>$3.00</t>
  </si>
  <si>
    <t>$2.85</t>
  </si>
  <si>
    <t>$3.065</t>
  </si>
  <si>
    <t>$2.66</t>
  </si>
  <si>
    <t>10/13/2025</t>
  </si>
  <si>
    <t>$2.56</t>
  </si>
  <si>
    <t>$2.695</t>
  </si>
  <si>
    <t>$2.5201</t>
  </si>
  <si>
    <t>$2.42</t>
  </si>
  <si>
    <t>$2.53</t>
  </si>
  <si>
    <t>$2.69</t>
  </si>
  <si>
    <t>$2.44</t>
  </si>
  <si>
    <t>$2.58</t>
  </si>
  <si>
    <t>$2.61</t>
  </si>
  <si>
    <t>$2.33</t>
  </si>
  <si>
    <t>$2.77</t>
  </si>
  <si>
    <t>$2.79</t>
  </si>
  <si>
    <t>$2.55</t>
  </si>
  <si>
    <t>$2.99</t>
  </si>
  <si>
    <t>$2.70</t>
  </si>
  <si>
    <t>$3.06</t>
  </si>
  <si>
    <t>$3.187</t>
  </si>
  <si>
    <t>$2.749</t>
  </si>
  <si>
    <t>$2.71</t>
  </si>
  <si>
    <t>$2.91</t>
  </si>
  <si>
    <t>$2.68</t>
  </si>
  <si>
    <t>$2.50</t>
  </si>
  <si>
    <t>$2.49</t>
  </si>
  <si>
    <t>$2.38</t>
  </si>
  <si>
    <t>09/30/2025</t>
  </si>
  <si>
    <t>$2.51</t>
  </si>
  <si>
    <t>$2.54</t>
  </si>
  <si>
    <t>09/29/2025</t>
  </si>
  <si>
    <t>$2.4207</t>
  </si>
  <si>
    <t>09/26/2025</t>
  </si>
  <si>
    <t>$2.65</t>
  </si>
  <si>
    <t>09/25/2025</t>
  </si>
  <si>
    <t>$2.37</t>
  </si>
  <si>
    <t>$2.455</t>
  </si>
  <si>
    <t>09/24/2025</t>
  </si>
  <si>
    <t>$2.30</t>
  </si>
  <si>
    <t>$2.31</t>
  </si>
  <si>
    <t>$2.39</t>
  </si>
  <si>
    <t>09/23/2025</t>
  </si>
  <si>
    <t>$2.34</t>
  </si>
  <si>
    <t>$2.47</t>
  </si>
  <si>
    <t>09/22/2025</t>
  </si>
  <si>
    <t>$2.62</t>
  </si>
  <si>
    <t>09/19/2025</t>
  </si>
  <si>
    <t>$2.28</t>
  </si>
  <si>
    <t>$2.325</t>
  </si>
  <si>
    <t>09/18/2025</t>
  </si>
  <si>
    <t>09/17/2025</t>
  </si>
  <si>
    <t>$2.36</t>
  </si>
  <si>
    <t>09/16/2025</t>
  </si>
  <si>
    <t>09/15/2025</t>
  </si>
  <si>
    <t>$2.08</t>
  </si>
  <si>
    <t>$2.3397</t>
  </si>
  <si>
    <t>$2.02</t>
  </si>
  <si>
    <t>$2.10</t>
  </si>
  <si>
    <t>$2.3723</t>
  </si>
  <si>
    <t>$2.17</t>
  </si>
  <si>
    <t>$2.5499</t>
  </si>
  <si>
    <t>$2.40</t>
  </si>
  <si>
    <t>$3.15</t>
  </si>
  <si>
    <t>$2.05</t>
  </si>
  <si>
    <t>$2.14</t>
  </si>
  <si>
    <t>$1.77</t>
  </si>
  <si>
    <t>$1.7306</t>
  </si>
  <si>
    <t>08/29/2025</t>
  </si>
  <si>
    <t>08/28/2025</t>
  </si>
  <si>
    <t>$1.78</t>
  </si>
  <si>
    <t>$1.7701</t>
  </si>
  <si>
    <t>08/27/2025</t>
  </si>
  <si>
    <t>$1.895</t>
  </si>
  <si>
    <t>$1.84</t>
  </si>
  <si>
    <t>08/26/2025</t>
  </si>
  <si>
    <t>$1.97</t>
  </si>
  <si>
    <t>$1.88</t>
  </si>
  <si>
    <t>08/25/2025</t>
  </si>
  <si>
    <t>$1.93</t>
  </si>
  <si>
    <t>08/22/2025</t>
  </si>
  <si>
    <t>08/21/2025</t>
  </si>
  <si>
    <t>08/20/2025</t>
  </si>
  <si>
    <t>$2.0901</t>
  </si>
  <si>
    <t>08/19/2025</t>
  </si>
  <si>
    <t>$2.48</t>
  </si>
  <si>
    <t>08/18/2025</t>
  </si>
  <si>
    <t>$2.4801</t>
  </si>
  <si>
    <t>08/15/2025</t>
  </si>
  <si>
    <t>$2.6793</t>
  </si>
  <si>
    <t>08/14/2025</t>
  </si>
  <si>
    <t>$2.78</t>
  </si>
  <si>
    <t>08/13/2025</t>
  </si>
  <si>
    <t>$2.97</t>
  </si>
  <si>
    <t>$3.04</t>
  </si>
  <si>
    <t>$3.52</t>
  </si>
  <si>
    <t>$3.51</t>
  </si>
  <si>
    <t>$3.80</t>
  </si>
  <si>
    <t>$3.87</t>
  </si>
  <si>
    <t>$3.50</t>
  </si>
  <si>
    <t>$3.90</t>
  </si>
  <si>
    <t>$3.83</t>
  </si>
  <si>
    <t>$3.97</t>
  </si>
  <si>
    <t>$3.84</t>
  </si>
  <si>
    <t>$3.86</t>
  </si>
  <si>
    <t>$3.70</t>
  </si>
  <si>
    <t>$3.93</t>
  </si>
  <si>
    <t>$3.915</t>
  </si>
  <si>
    <t>$3.79</t>
  </si>
  <si>
    <t>$3.74</t>
  </si>
  <si>
    <t>$3.78</t>
  </si>
  <si>
    <t>$3.611</t>
  </si>
  <si>
    <t>07/31/2025</t>
  </si>
  <si>
    <t>$3.82</t>
  </si>
  <si>
    <t>$3.92</t>
  </si>
  <si>
    <t>$3.99</t>
  </si>
  <si>
    <t>07/30/2025</t>
  </si>
  <si>
    <t>$3.88</t>
  </si>
  <si>
    <t>$4.15</t>
  </si>
  <si>
    <t>07/29/2025</t>
  </si>
  <si>
    <t>$3.98</t>
  </si>
  <si>
    <t>$4.03</t>
  </si>
  <si>
    <t>07/28/2025</t>
  </si>
  <si>
    <t>$3.94</t>
  </si>
  <si>
    <t>$4.13</t>
  </si>
  <si>
    <t>$4.27</t>
  </si>
  <si>
    <t>07/25/2025</t>
  </si>
  <si>
    <t>$3.95</t>
  </si>
  <si>
    <t>07/24/2025</t>
  </si>
  <si>
    <t>$3.81</t>
  </si>
  <si>
    <t>$4.00</t>
  </si>
  <si>
    <t>07/23/2025</t>
  </si>
  <si>
    <t>$4.26</t>
  </si>
  <si>
    <t>$4.12</t>
  </si>
  <si>
    <t>07/22/2025</t>
  </si>
  <si>
    <t>$4.30</t>
  </si>
  <si>
    <t>$4.37</t>
  </si>
  <si>
    <t>07/21/2025</t>
  </si>
  <si>
    <t>$4.58</t>
  </si>
  <si>
    <t>07/18/2025</t>
  </si>
  <si>
    <t>$4.3777</t>
  </si>
  <si>
    <t>$4.1503</t>
  </si>
  <si>
    <t>07/17/2025</t>
  </si>
  <si>
    <t>$4.38</t>
  </si>
  <si>
    <t>$4.14</t>
  </si>
  <si>
    <t>07/16/2025</t>
  </si>
  <si>
    <t>$4.41</t>
  </si>
  <si>
    <t>$4.4518</t>
  </si>
  <si>
    <t>07/15/2025</t>
  </si>
  <si>
    <t>$4.76</t>
  </si>
  <si>
    <t>$4.871</t>
  </si>
  <si>
    <t>$4.18</t>
  </si>
  <si>
    <t>07/14/2025</t>
  </si>
  <si>
    <t>$4.65</t>
  </si>
  <si>
    <t>$4.97</t>
  </si>
  <si>
    <t>$5.0546</t>
  </si>
  <si>
    <t>$4.50</t>
  </si>
  <si>
    <t>$4.86</t>
  </si>
  <si>
    <t>$5.2299</t>
  </si>
  <si>
    <t>$4.6612</t>
  </si>
  <si>
    <t>$5.55</t>
  </si>
  <si>
    <t>$5.57</t>
  </si>
  <si>
    <t>$4.44</t>
  </si>
  <si>
    <t>$5.31</t>
  </si>
  <si>
    <t>$5.70</t>
  </si>
  <si>
    <t>$5.30</t>
  </si>
  <si>
    <t>$5.28</t>
  </si>
  <si>
    <t>$5.445</t>
  </si>
  <si>
    <t>$5.01</t>
  </si>
  <si>
    <t>$4.64</t>
  </si>
  <si>
    <t>$5.25</t>
  </si>
  <si>
    <t>$3.47</t>
  </si>
  <si>
    <t>$3.878</t>
  </si>
  <si>
    <t>$3.43</t>
  </si>
  <si>
    <t>$3.7035</t>
  </si>
  <si>
    <t>$3.39</t>
  </si>
  <si>
    <t>06/30/2025</t>
  </si>
  <si>
    <t>$3.77</t>
  </si>
  <si>
    <t>$3.31</t>
  </si>
  <si>
    <t>06/27/2025</t>
  </si>
  <si>
    <t>$3.65</t>
  </si>
  <si>
    <t>06/26/2025</t>
  </si>
  <si>
    <t>06/25/2025</t>
  </si>
  <si>
    <t>$4.35</t>
  </si>
  <si>
    <t>$3.76</t>
  </si>
  <si>
    <t>06/24/2025</t>
  </si>
  <si>
    <t>$3.64</t>
  </si>
  <si>
    <t>06/23/2025</t>
  </si>
  <si>
    <t>$4.10</t>
  </si>
  <si>
    <t>$4.1385</t>
  </si>
  <si>
    <t>$3.30</t>
  </si>
  <si>
    <t>06/20/2025</t>
  </si>
  <si>
    <t>$4.75</t>
  </si>
  <si>
    <t>06/18/2025</t>
  </si>
  <si>
    <t>$4.99</t>
  </si>
  <si>
    <t>06/17/2025</t>
  </si>
  <si>
    <t>$4.85</t>
  </si>
  <si>
    <t>06/16/2025</t>
  </si>
  <si>
    <t>$4.08</t>
  </si>
  <si>
    <t>$3.53</t>
  </si>
  <si>
    <t>06/13/2025</t>
  </si>
  <si>
    <t>$5.78</t>
  </si>
  <si>
    <t>$5.8536</t>
  </si>
  <si>
    <t>$6.61</t>
  </si>
  <si>
    <t>$6.95</t>
  </si>
  <si>
    <t>$5.80</t>
  </si>
  <si>
    <t>$7.355</t>
  </si>
  <si>
    <t>$7.5825</t>
  </si>
  <si>
    <t>$6.03</t>
  </si>
  <si>
    <t>$5.07</t>
  </si>
  <si>
    <t>$8.4798</t>
  </si>
  <si>
    <t>$5.738</t>
  </si>
  <si>
    <t>$3.2201</t>
  </si>
  <si>
    <t>$4.83</t>
  </si>
  <si>
    <t>$4.90</t>
  </si>
  <si>
    <t>$3.2362</t>
  </si>
  <si>
    <t>$6.4699</t>
  </si>
  <si>
    <t>$3.68</t>
  </si>
  <si>
    <t>$1.64</t>
  </si>
  <si>
    <t>$1.7599</t>
  </si>
  <si>
    <t>$1.61</t>
  </si>
  <si>
    <t>05/30/2025</t>
  </si>
  <si>
    <t>05/29/2025</t>
  </si>
  <si>
    <t>$1.7083</t>
  </si>
  <si>
    <t>05/28/2025</t>
  </si>
  <si>
    <t>$1.695</t>
  </si>
  <si>
    <t>$1.71</t>
  </si>
  <si>
    <t>05/27/2025</t>
  </si>
  <si>
    <t>$1.862</t>
  </si>
  <si>
    <t>05/23/2025</t>
  </si>
  <si>
    <t>05/22/2025</t>
  </si>
  <si>
    <t>05/21/2025</t>
  </si>
  <si>
    <t>$1.75</t>
  </si>
  <si>
    <t>$1.56</t>
  </si>
  <si>
    <t>05/20/2025</t>
  </si>
  <si>
    <t>05/19/2025</t>
  </si>
  <si>
    <t>05/16/2025</t>
  </si>
  <si>
    <t>05/15/2025</t>
  </si>
  <si>
    <t>$1.60</t>
  </si>
  <si>
    <t>05/14/2025</t>
  </si>
  <si>
    <t>$4.19</t>
  </si>
  <si>
    <t>05/13/2025</t>
  </si>
  <si>
    <t>$2.95</t>
  </si>
  <si>
    <t>$7.50</t>
  </si>
  <si>
    <t>$10.50</t>
  </si>
  <si>
    <t>$7.20</t>
  </si>
  <si>
    <t>$7.15</t>
  </si>
  <si>
    <t>$7.00</t>
  </si>
  <si>
    <t>$7.25</t>
  </si>
  <si>
    <t>$7.10</t>
  </si>
  <si>
    <t>$7.30</t>
  </si>
  <si>
    <t>$7.28</t>
  </si>
  <si>
    <t>$7.40</t>
  </si>
  <si>
    <t>$7.35</t>
  </si>
  <si>
    <t>04/30/2025</t>
  </si>
  <si>
    <t>04/29/2025</t>
  </si>
  <si>
    <t>$8.00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</si>
  <si>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</si>
  <si>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</si>
  <si>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</si>
  <si>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</si>
  <si>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</si>
  <si>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</si>
  <si>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</si>
  <si>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</si>
  <si>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</si>
  <si>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$9.50</t>
  </si>
  <si>
    <t>04/14/2025</t>
  </si>
  <si>
    <t>$8.05</t>
  </si>
  <si>
    <t>$7.80</t>
  </si>
  <si>
    <t>$8.20</t>
  </si>
  <si>
    <t>$8.25</t>
  </si>
  <si>
    <t>$7.96</t>
  </si>
  <si>
    <t>$6.00</t>
  </si>
  <si>
    <t>$8.40</t>
  </si>
  <si>
    <t>$7.90</t>
  </si>
  <si>
    <t>$8.10</t>
  </si>
  <si>
    <t>$10.00</t>
  </si>
  <si>
    <t>$8.08</t>
  </si>
  <si>
    <t>$5.00</t>
  </si>
  <si>
    <t>$8.325</t>
  </si>
  <si>
    <t>$7.70</t>
  </si>
  <si>
    <t>$8.35</t>
  </si>
  <si>
    <t>03/31/2025</t>
  </si>
  <si>
    <t>$8.50</t>
  </si>
  <si>
    <t>03/28/2025</t>
  </si>
  <si>
    <t>$12.00</t>
  </si>
  <si>
    <t>03/27/2025</t>
  </si>
  <si>
    <t>$8.01</t>
  </si>
  <si>
    <t>$9.075</t>
  </si>
  <si>
    <t>03/26/2025</t>
  </si>
  <si>
    <t>$8.88</t>
  </si>
  <si>
    <t>03/25/2025</t>
  </si>
  <si>
    <t>03/24/2025</t>
  </si>
  <si>
    <t>$6.40</t>
  </si>
  <si>
    <t>$6.50</t>
  </si>
  <si>
    <t>03/21/2025</t>
  </si>
  <si>
    <t>03/20/2025</t>
  </si>
  <si>
    <t>$6.60</t>
  </si>
  <si>
    <t>$3.11</t>
  </si>
  <si>
    <t>03/19/2025</t>
  </si>
  <si>
    <t>$6.35</t>
  </si>
  <si>
    <t>Daily returns</t>
  </si>
  <si>
    <t>$0.6468</t>
  </si>
  <si>
    <t>Variance</t>
  </si>
  <si>
    <t>Covariance</t>
  </si>
  <si>
    <t>Correlation</t>
  </si>
  <si>
    <t>Std. Dev</t>
  </si>
  <si>
    <t xml:space="preserve">Exp return </t>
  </si>
  <si>
    <t>Meta</t>
  </si>
  <si>
    <t>Avg Returns</t>
  </si>
  <si>
    <t>Standard Deviation</t>
  </si>
  <si>
    <t>03/18/2026</t>
  </si>
  <si>
    <t>K Wave Media</t>
  </si>
  <si>
    <t>Daily Returns</t>
  </si>
  <si>
    <t>$616.34</t>
  </si>
  <si>
    <t>$622.65</t>
  </si>
  <si>
    <t>$614.61</t>
  </si>
  <si>
    <t>$627.985</t>
  </si>
  <si>
    <t>$636.55</t>
  </si>
  <si>
    <t>$621.70</t>
  </si>
  <si>
    <t>$632.00</t>
  </si>
  <si>
    <t>$634.75</t>
  </si>
  <si>
    <t>$623.1004</t>
  </si>
  <si>
    <t>$623.89</t>
  </si>
  <si>
    <t>$629.1699</t>
  </si>
  <si>
    <t>$609.55</t>
  </si>
  <si>
    <t>$648.75</t>
  </si>
  <si>
    <t>$653.50</t>
  </si>
  <si>
    <t>$636.90</t>
  </si>
  <si>
    <t>$654.76</t>
  </si>
  <si>
    <t>$659.12</t>
  </si>
  <si>
    <t>$648.36</t>
  </si>
  <si>
    <t>$653.56</t>
  </si>
  <si>
    <t>$660.30</t>
  </si>
  <si>
    <t>$649.00</t>
  </si>
  <si>
    <t>$634.78</t>
  </si>
  <si>
    <t>$647.75</t>
  </si>
  <si>
    <t>$626.78</t>
  </si>
  <si>
    <t>$647.90</t>
  </si>
  <si>
    <t>$649.47</t>
  </si>
  <si>
    <t>$636.11</t>
  </si>
  <si>
    <t>$661.93</t>
  </si>
  <si>
    <t>$670.70</t>
  </si>
  <si>
    <t>$650.31</t>
  </si>
  <si>
    <t>$657.96</t>
  </si>
  <si>
    <t>$672.77</t>
  </si>
  <si>
    <t>$657.6711</t>
  </si>
  <si>
    <t>$648.29</t>
  </si>
  <si>
    <t>$659.04</t>
  </si>
  <si>
    <t>$638.84</t>
  </si>
  <si>
    <t>$637.16</t>
  </si>
  <si>
    <t>$659.94</t>
  </si>
  <si>
    <t>$634.50</t>
  </si>
  <si>
    <t>$643.45</t>
  </si>
  <si>
    <t>$649.44</t>
  </si>
  <si>
    <t>$638.12</t>
  </si>
  <si>
    <t>$650.55</t>
  </si>
  <si>
    <t>$661.00</t>
  </si>
  <si>
    <t>$647.50</t>
  </si>
  <si>
    <t>$642.53</t>
  </si>
  <si>
    <t>$653.88</t>
  </si>
  <si>
    <t>$642.14</t>
  </si>
  <si>
    <t>$633.08</t>
  </si>
  <si>
    <t>$641.11</t>
  </si>
  <si>
    <t>$628.98</t>
  </si>
  <si>
    <t>$652.54</t>
  </si>
  <si>
    <t>$657.70</t>
  </si>
  <si>
    <t>$636.00</t>
  </si>
  <si>
    <t>$639.685</t>
  </si>
  <si>
    <t>$663.3499</t>
  </si>
  <si>
    <t>$638.78</t>
  </si>
  <si>
    <t>$638.57</t>
  </si>
  <si>
    <t>$647.19</t>
  </si>
  <si>
    <t>$636.72</t>
  </si>
  <si>
    <t>$633.80</t>
  </si>
  <si>
    <t>$645.00</t>
  </si>
  <si>
    <t>$628.145</t>
  </si>
  <si>
    <t>$639.495</t>
  </si>
  <si>
    <t>$642.60</t>
  </si>
  <si>
    <t>$628.80</t>
  </si>
  <si>
    <t>$645.10</t>
  </si>
  <si>
    <t>$651.4299</t>
  </si>
  <si>
    <t>$634.57</t>
  </si>
  <si>
    <t>$669.97</t>
  </si>
  <si>
    <t>$676.00</t>
  </si>
  <si>
    <t>$645.28</t>
  </si>
  <si>
    <t>$674.00</t>
  </si>
  <si>
    <t>$679.2675</t>
  </si>
  <si>
    <t>$657.10</t>
  </si>
  <si>
    <t>$677.60</t>
  </si>
  <si>
    <t>$680.65</t>
  </si>
  <si>
    <t>$669.79</t>
  </si>
  <si>
    <t>$663.18</t>
  </si>
  <si>
    <t>$683.3099</t>
  </si>
  <si>
    <t>$658.78</t>
  </si>
  <si>
    <t>$665.49</t>
  </si>
  <si>
    <t>$671.9899</t>
  </si>
  <si>
    <t>$646.5001</t>
  </si>
  <si>
    <t>$663.58</t>
  </si>
  <si>
    <t>$681.50</t>
  </si>
  <si>
    <t>$687.73</t>
  </si>
  <si>
    <t>$688.83</t>
  </si>
  <si>
    <t>$667.46</t>
  </si>
  <si>
    <t>$707.37</t>
  </si>
  <si>
    <t>$717.00</t>
  </si>
  <si>
    <t>$686.41</t>
  </si>
  <si>
    <t>$714.60</t>
  </si>
  <si>
    <t>$721.30</t>
  </si>
  <si>
    <t>$703.5201</t>
  </si>
  <si>
    <t>$727.50</t>
  </si>
  <si>
    <t>$732.17</t>
  </si>
  <si>
    <t>$713.59</t>
  </si>
  <si>
    <t>$737.43</t>
  </si>
  <si>
    <t>$744.00</t>
  </si>
  <si>
    <t>$712.55</t>
  </si>
  <si>
    <t>$674.50</t>
  </si>
  <si>
    <t>$677.6775</t>
  </si>
  <si>
    <t>$666.10</t>
  </si>
  <si>
    <t>$674.59</t>
  </si>
  <si>
    <t>$676.815</t>
  </si>
  <si>
    <t>$664.66</t>
  </si>
  <si>
    <t>$665.125</t>
  </si>
  <si>
    <t>$675.28</t>
  </si>
  <si>
    <t>$661.2855</t>
  </si>
  <si>
    <t>$644.77</t>
  </si>
  <si>
    <t>$666.4899</t>
  </si>
  <si>
    <t>$644.445</t>
  </si>
  <si>
    <t>$629.35</t>
  </si>
  <si>
    <t>$660.57</t>
  </si>
  <si>
    <t>$626.55</t>
  </si>
  <si>
    <t>$606.74</t>
  </si>
  <si>
    <t>$618.27</t>
  </si>
  <si>
    <t>$600.08</t>
  </si>
  <si>
    <t>$607.88</t>
  </si>
  <si>
    <t>$611.40</t>
  </si>
  <si>
    <t>$600.00</t>
  </si>
  <si>
    <t>$624.176</t>
  </si>
  <si>
    <t>$629.08</t>
  </si>
  <si>
    <t>$620.08</t>
  </si>
  <si>
    <t>$618.48</t>
  </si>
  <si>
    <t>$624.17</t>
  </si>
  <si>
    <t>$614.23</t>
  </si>
  <si>
    <t>$626.50</t>
  </si>
  <si>
    <t>$628.45</t>
  </si>
  <si>
    <t>$614.815</t>
  </si>
  <si>
    <t>$642.27</t>
  </si>
  <si>
    <t>$624.10</t>
  </si>
  <si>
    <t>$652.525</t>
  </si>
  <si>
    <t>$653.97</t>
  </si>
  <si>
    <t>$641.225</t>
  </si>
  <si>
    <t>$645.435</t>
  </si>
  <si>
    <t>$654.95</t>
  </si>
  <si>
    <t>$642.85</t>
  </si>
  <si>
    <t>$645.88</t>
  </si>
  <si>
    <t>$647.102</t>
  </si>
  <si>
    <t>$635.72</t>
  </si>
  <si>
    <t>$655.64</t>
  </si>
  <si>
    <t>$659.15</t>
  </si>
  <si>
    <t>$644.81</t>
  </si>
  <si>
    <t>$659.57</t>
  </si>
  <si>
    <t>$665.52</t>
  </si>
  <si>
    <t>$651.90</t>
  </si>
  <si>
    <t>$651.01</t>
  </si>
  <si>
    <t>$664.54</t>
  </si>
  <si>
    <t>$647.7512</t>
  </si>
  <si>
    <t>$662.725</t>
  </si>
  <si>
    <t>$664.39</t>
  </si>
  <si>
    <t>$643.50</t>
  </si>
  <si>
    <t>$664.75</t>
  </si>
  <si>
    <t>$665.00</t>
  </si>
  <si>
    <t>$659.44</t>
  </si>
  <si>
    <t>$658.69</t>
  </si>
  <si>
    <t>$672.22</t>
  </si>
  <si>
    <t>$657.84</t>
  </si>
  <si>
    <t>$658.01</t>
  </si>
  <si>
    <t>$660.25</t>
  </si>
  <si>
    <t>$654.39</t>
  </si>
  <si>
    <t>$668.06</t>
  </si>
  <si>
    <t>$668.9499</t>
  </si>
  <si>
    <t>$661.3201</t>
  </si>
  <si>
    <t>$662.53</t>
  </si>
  <si>
    <t>$668.18</t>
  </si>
  <si>
    <t>$662.20</t>
  </si>
  <si>
    <t>$660.05</t>
  </si>
  <si>
    <t>$666.00</t>
  </si>
  <si>
    <t>$658.25</t>
  </si>
  <si>
    <t>$661.645</t>
  </si>
  <si>
    <t>$673.58</t>
  </si>
  <si>
    <t>$656.65</t>
  </si>
  <si>
    <t>$666.42</t>
  </si>
  <si>
    <t>$671.00</t>
  </si>
  <si>
    <t>$658.18</t>
  </si>
  <si>
    <t>$657.025</t>
  </si>
  <si>
    <t>$670.56</t>
  </si>
  <si>
    <t>$656.46</t>
  </si>
  <si>
    <t>$655.61</t>
  </si>
  <si>
    <t>$661.23</t>
  </si>
  <si>
    <t>$649.20</t>
  </si>
  <si>
    <t>$662.54</t>
  </si>
  <si>
    <t>$643.20</t>
  </si>
  <si>
    <t>$645.70</t>
  </si>
  <si>
    <t>$653.00</t>
  </si>
  <si>
    <t>$638.7001</t>
  </si>
  <si>
    <t>$649.80</t>
  </si>
  <si>
    <t>$711.00</t>
  </si>
  <si>
    <t>$638.61</t>
  </si>
  <si>
    <t>$643.29</t>
  </si>
  <si>
    <t>$655.28</t>
  </si>
  <si>
    <t>$640.795</t>
  </si>
  <si>
    <t>$649.95</t>
  </si>
  <si>
    <t>$654.51</t>
  </si>
  <si>
    <t>$643.3976</t>
  </si>
  <si>
    <t>$663.765</t>
  </si>
  <si>
    <t>$664.48</t>
  </si>
  <si>
    <t>$653.34</t>
  </si>
  <si>
    <t>$669.34</t>
  </si>
  <si>
    <t>$676.71</t>
  </si>
  <si>
    <t>$665.07</t>
  </si>
  <si>
    <t>$664.00</t>
  </si>
  <si>
    <t>$674.69</t>
  </si>
  <si>
    <t>$662.3947</t>
  </si>
  <si>
    <t>$676.10</t>
  </si>
  <si>
    <t>$644.41</t>
  </si>
  <si>
    <t>$648.8499</t>
  </si>
  <si>
    <t>$637.55</t>
  </si>
  <si>
    <t>$642.34</t>
  </si>
  <si>
    <t>$647.87</t>
  </si>
  <si>
    <t>$638.07</t>
  </si>
  <si>
    <t>$639.55</t>
  </si>
  <si>
    <t>$645.32</t>
  </si>
  <si>
    <t>$637.76</t>
  </si>
  <si>
    <t>$636.075</t>
  </si>
  <si>
    <t>$648.05</t>
  </si>
  <si>
    <t>$635.50</t>
  </si>
  <si>
    <t>$637.69</t>
  </si>
  <si>
    <t>$638.36</t>
  </si>
  <si>
    <t>$631.63</t>
  </si>
  <si>
    <t>$624.00</t>
  </si>
  <si>
    <t>$637.045</t>
  </si>
  <si>
    <t>$618.30</t>
  </si>
  <si>
    <t>$598.72</t>
  </si>
  <si>
    <t>$616.70</t>
  </si>
  <si>
    <t>$597.6301</t>
  </si>
  <si>
    <t>$588.50</t>
  </si>
  <si>
    <t>$598.12</t>
  </si>
  <si>
    <t>$581.86</t>
  </si>
  <si>
    <t>$603.50</t>
  </si>
  <si>
    <t>$606.72</t>
  </si>
  <si>
    <t>$583.35</t>
  </si>
  <si>
    <t>$593.715</t>
  </si>
  <si>
    <t>$595.33</t>
  </si>
  <si>
    <t>$581.25</t>
  </si>
  <si>
    <t>$591.60</t>
  </si>
  <si>
    <t>$603.66</t>
  </si>
  <si>
    <t>$583.78</t>
  </si>
  <si>
    <t>$609.035</t>
  </si>
  <si>
    <t>$611.69</t>
  </si>
  <si>
    <t>$595.40</t>
  </si>
  <si>
    <t>$601.79</t>
  </si>
  <si>
    <t>$613.68</t>
  </si>
  <si>
    <t>$595.20</t>
  </si>
  <si>
    <t>$613.07</t>
  </si>
  <si>
    <t>$617.65</t>
  </si>
  <si>
    <t>$603.00</t>
  </si>
  <si>
    <t>$628.13</t>
  </si>
  <si>
    <t>$628.99</t>
  </si>
  <si>
    <t>$607.77</t>
  </si>
  <si>
    <t>$628.00</t>
  </si>
  <si>
    <t>$629.56</t>
  </si>
  <si>
    <t>$619.39</t>
  </si>
  <si>
    <t>$631.09</t>
  </si>
  <si>
    <t>$635.00</t>
  </si>
  <si>
    <t>$618.105</t>
  </si>
  <si>
    <t>$616.485</t>
  </si>
  <si>
    <t>$622.1348</t>
  </si>
  <si>
    <t>$601.20</t>
  </si>
  <si>
    <t>$635.85</t>
  </si>
  <si>
    <t>$618.00</t>
  </si>
  <si>
    <t>$632.31</t>
  </si>
  <si>
    <t>$642.23</t>
  </si>
  <si>
    <t>$626.5375</t>
  </si>
  <si>
    <t>$628.035</t>
  </si>
  <si>
    <t>$641.7399</t>
  </si>
  <si>
    <t>$626.01</t>
  </si>
  <si>
    <t>$656.00</t>
  </si>
  <si>
    <t>$659.3299</t>
  </si>
  <si>
    <t>$636.18</t>
  </si>
  <si>
    <t>$674.51</t>
  </si>
  <si>
    <t>$674.89</t>
  </si>
  <si>
    <t>$645.57</t>
  </si>
  <si>
    <t>$669.15</t>
  </si>
  <si>
    <t>$680.9599</t>
  </si>
  <si>
    <t>$650.17</t>
  </si>
  <si>
    <t>$754.75</t>
  </si>
  <si>
    <t>$759.155</t>
  </si>
  <si>
    <t>$742.51</t>
  </si>
  <si>
    <t>$752.63</t>
  </si>
  <si>
    <t>$758.40</t>
  </si>
  <si>
    <t>$745.5201</t>
  </si>
  <si>
    <t>$749.73</t>
  </si>
  <si>
    <t>$755.75</t>
  </si>
  <si>
    <t>$748.01</t>
  </si>
  <si>
    <t>$736.79</t>
  </si>
  <si>
    <t>$741.21</t>
  </si>
  <si>
    <t>$731.15</t>
  </si>
  <si>
    <t>$734.70</t>
  </si>
  <si>
    <t>$742.41</t>
  </si>
  <si>
    <t>$733.10</t>
  </si>
  <si>
    <t>$733.83</t>
  </si>
  <si>
    <t>$740.60</t>
  </si>
  <si>
    <t>$724.03</t>
  </si>
  <si>
    <t>$736.015</t>
  </si>
  <si>
    <t>$738.50</t>
  </si>
  <si>
    <t>$728.75</t>
  </si>
  <si>
    <t>$721.19</t>
  </si>
  <si>
    <t>$733.77</t>
  </si>
  <si>
    <t>$720.18</t>
  </si>
  <si>
    <t>$707.075</t>
  </si>
  <si>
    <t>$718.54</t>
  </si>
  <si>
    <t>$706.12</t>
  </si>
  <si>
    <t>$717.55</t>
  </si>
  <si>
    <t>$725.49</t>
  </si>
  <si>
    <t>$703.88</t>
  </si>
  <si>
    <t>$717.06</t>
  </si>
  <si>
    <t>$723.90</t>
  </si>
  <si>
    <t>$709.51</t>
  </si>
  <si>
    <t>$707.78</t>
  </si>
  <si>
    <t>$715.55</t>
  </si>
  <si>
    <t>$699.33</t>
  </si>
  <si>
    <t>$713.01</t>
  </si>
  <si>
    <t>$719.94</t>
  </si>
  <si>
    <t>$707.6413</t>
  </si>
  <si>
    <t>$730.92</t>
  </si>
  <si>
    <t>$735.27</t>
  </si>
  <si>
    <t>$704.51</t>
  </si>
  <si>
    <t>$718.275</t>
  </si>
  <si>
    <t>$733.51</t>
  </si>
  <si>
    <t>$712.44</t>
  </si>
  <si>
    <t>$713.45</t>
  </si>
  <si>
    <t>$719.65</t>
  </si>
  <si>
    <t>$707.81</t>
  </si>
  <si>
    <t>$717.72</t>
  </si>
  <si>
    <t>$718.4999</t>
  </si>
  <si>
    <t>$705.75</t>
  </si>
  <si>
    <t>$705.185</t>
  </si>
  <si>
    <t>$716.88</t>
  </si>
  <si>
    <t>$690.51</t>
  </si>
  <si>
    <t>$729.625</t>
  </si>
  <si>
    <t>$731.00</t>
  </si>
  <si>
    <t>$710.18</t>
  </si>
  <si>
    <t>$722.58</t>
  </si>
  <si>
    <t>$727.77</t>
  </si>
  <si>
    <t>$718.14</t>
  </si>
  <si>
    <t>$721.49</t>
  </si>
  <si>
    <t>$721.8499</t>
  </si>
  <si>
    <t>$710.20</t>
  </si>
  <si>
    <t>$742.25</t>
  </si>
  <si>
    <t>$742.97</t>
  </si>
  <si>
    <t>$726.30</t>
  </si>
  <si>
    <t>$748.72</t>
  </si>
  <si>
    <t>$750.78</t>
  </si>
  <si>
    <t>$739.15</t>
  </si>
  <si>
    <t>$750.00</t>
  </si>
  <si>
    <t>$751.9299</t>
  </si>
  <si>
    <t>$737.3532</t>
  </si>
  <si>
    <t>$753.45</t>
  </si>
  <si>
    <t>$756.765</t>
  </si>
  <si>
    <t>$744.55</t>
  </si>
  <si>
    <t>$757.50</t>
  </si>
  <si>
    <t>$761.11</t>
  </si>
  <si>
    <t>$752.5251</t>
  </si>
  <si>
    <t>$769.25</t>
  </si>
  <si>
    <t>$770.60</t>
  </si>
  <si>
    <t>$751.07</t>
  </si>
  <si>
    <t>$781.845</t>
  </si>
  <si>
    <t>$785.73</t>
  </si>
  <si>
    <t>$764.47</t>
  </si>
  <si>
    <t>$786.42</t>
  </si>
  <si>
    <t>$790.80</t>
  </si>
  <si>
    <t>$769.1901</t>
  </si>
  <si>
    <t>$780.75</t>
  </si>
  <si>
    <t>$788.78</t>
  </si>
  <si>
    <t>$773.36</t>
  </si>
  <si>
    <t>$779.99</t>
  </si>
  <si>
    <t>$783.29</t>
  </si>
  <si>
    <t>$766.31</t>
  </si>
  <si>
    <t>$767.00</t>
  </si>
  <si>
    <t>$781.36</t>
  </si>
  <si>
    <t>$765.10</t>
  </si>
  <si>
    <t>$757.47</t>
  </si>
  <si>
    <t>$774.07</t>
  </si>
  <si>
    <t>$751.985</t>
  </si>
  <si>
    <t>$748.725</t>
  </si>
  <si>
    <t>$757.5703</t>
  </si>
  <si>
    <t>$743.76</t>
  </si>
  <si>
    <t>$754.65</t>
  </si>
  <si>
    <t>$757.10</t>
  </si>
  <si>
    <t>$748.37</t>
  </si>
  <si>
    <t>$765.13</t>
  </si>
  <si>
    <t>$765.70</t>
  </si>
  <si>
    <t>$751.00</t>
  </si>
  <si>
    <t>$757.49</t>
  </si>
  <si>
    <t>$766.30</t>
  </si>
  <si>
    <t>$753.43</t>
  </si>
  <si>
    <t>$755.995</t>
  </si>
  <si>
    <t>$766.51</t>
  </si>
  <si>
    <t>$752.02</t>
  </si>
  <si>
    <t>$752.615</t>
  </si>
  <si>
    <t>$757.95</t>
  </si>
  <si>
    <t>$745.03</t>
  </si>
  <si>
    <t>$748.57</t>
  </si>
  <si>
    <t>$761.16</t>
  </si>
  <si>
    <t>$745.82</t>
  </si>
  <si>
    <t>$736.00</t>
  </si>
  <si>
    <t>$740.25</t>
  </si>
  <si>
    <t>$733.9893</t>
  </si>
  <si>
    <t>$726.04</t>
  </si>
  <si>
    <t>$721.7306</t>
  </si>
  <si>
    <t>$745.28</t>
  </si>
  <si>
    <t>$747.14</t>
  </si>
  <si>
    <t>$735.3466</t>
  </si>
  <si>
    <t>$753.0548</t>
  </si>
  <si>
    <t>$740.795</t>
  </si>
  <si>
    <t>$752.30</t>
  </si>
  <si>
    <t>$754.1499</t>
  </si>
  <si>
    <t>$742.84</t>
  </si>
  <si>
    <t>$750.80</t>
  </si>
  <si>
    <t>$754.87</t>
  </si>
  <si>
    <t>$747.94</t>
  </si>
  <si>
    <t>$754.82</t>
  </si>
  <si>
    <t>$758.88</t>
  </si>
  <si>
    <t>$750.13</t>
  </si>
  <si>
    <t>$739.23</t>
  </si>
  <si>
    <t>$756.90</t>
  </si>
  <si>
    <t>$734.39</t>
  </si>
  <si>
    <t>$744.705</t>
  </si>
  <si>
    <t>$745.50</t>
  </si>
  <si>
    <t>$733.1101</t>
  </si>
  <si>
    <t>$747.57</t>
  </si>
  <si>
    <t>$750.1999</t>
  </si>
  <si>
    <t>$767.12</t>
  </si>
  <si>
    <t>$767.17</t>
  </si>
  <si>
    <t>$749.36</t>
  </si>
  <si>
    <t>$775.085</t>
  </si>
  <si>
    <t>$775.81</t>
  </si>
  <si>
    <t>$756.5601</t>
  </si>
  <si>
    <t>$784.15</t>
  </si>
  <si>
    <t>$796.25</t>
  </si>
  <si>
    <t>$780.82</t>
  </si>
  <si>
    <t>$777.88</t>
  </si>
  <si>
    <t>$787.81</t>
  </si>
  <si>
    <t>$772.51</t>
  </si>
  <si>
    <t>$791.15</t>
  </si>
  <si>
    <t>$795.4561</t>
  </si>
  <si>
    <t>$778.23</t>
  </si>
  <si>
    <t>$773.00</t>
  </si>
  <si>
    <t>$793.67</t>
  </si>
  <si>
    <t>$772.43</t>
  </si>
  <si>
    <t>$770.075</t>
  </si>
  <si>
    <t>$773.4584</t>
  </si>
  <si>
    <t>$764.67</t>
  </si>
  <si>
    <t>$762.75</t>
  </si>
  <si>
    <t>$769.90</t>
  </si>
  <si>
    <t>$758.58</t>
  </si>
  <si>
    <t>$773.49</t>
  </si>
  <si>
    <t>$775.00</t>
  </si>
  <si>
    <t>$759.55</t>
  </si>
  <si>
    <t>$770.00</t>
  </si>
  <si>
    <t>$773.64</t>
  </si>
  <si>
    <t>$760.4601</t>
  </si>
  <si>
    <t>$776.445</t>
  </si>
  <si>
    <t>$783.1299</t>
  </si>
  <si>
    <t>$763.00</t>
  </si>
  <si>
    <t>$760.00</t>
  </si>
  <si>
    <t>$776.85</t>
  </si>
  <si>
    <t>$758.41</t>
  </si>
  <si>
    <t>$760.73</t>
  </si>
  <si>
    <t>$765.9999</t>
  </si>
  <si>
    <t>$745.31</t>
  </si>
  <si>
    <t>$775.20</t>
  </si>
  <si>
    <t>$784.75</t>
  </si>
  <si>
    <t>$765.51</t>
  </si>
  <si>
    <t>$708.09</t>
  </si>
  <si>
    <t>$708.50</t>
  </si>
  <si>
    <t>$691.2001</t>
  </si>
  <si>
    <t>$720.00</t>
  </si>
  <si>
    <t>$724.47</t>
  </si>
  <si>
    <t>$699.91</t>
  </si>
  <si>
    <t>$715.20</t>
  </si>
  <si>
    <t>$724.7352</t>
  </si>
  <si>
    <t>$712.68</t>
  </si>
  <si>
    <t>$716.915</t>
  </si>
  <si>
    <t>$720.6499</t>
  </si>
  <si>
    <t>$711.90</t>
  </si>
  <si>
    <t>$717.05</t>
  </si>
  <si>
    <t>$723.6239</t>
  </si>
  <si>
    <t>$714.00</t>
  </si>
  <si>
    <t>$706.365</t>
  </si>
  <si>
    <t>$714.6285</t>
  </si>
  <si>
    <t>$704.93</t>
  </si>
  <si>
    <t>$716.19</t>
  </si>
  <si>
    <t>$716.60</t>
  </si>
  <si>
    <t>$701.41</t>
  </si>
  <si>
    <t>$706.80</t>
  </si>
  <si>
    <t>$705.76</t>
  </si>
  <si>
    <t>$702.19</t>
  </si>
  <si>
    <t>$704.71</t>
  </si>
  <si>
    <t>$691.65</t>
  </si>
  <si>
    <t>$704.39</t>
  </si>
  <si>
    <t>$705.90</t>
  </si>
  <si>
    <t>$697.105</t>
  </si>
  <si>
    <t>$713.37</t>
  </si>
  <si>
    <t>$713.97</t>
  </si>
  <si>
    <t>$699.2701</t>
  </si>
  <si>
    <t>$724.4716</t>
  </si>
  <si>
    <t>$709.82</t>
  </si>
  <si>
    <t>$717.60</t>
  </si>
  <si>
    <t>$728.00</t>
  </si>
  <si>
    <t>$716.547</t>
  </si>
  <si>
    <t>$722.495</t>
  </si>
  <si>
    <t>$725.16</t>
  </si>
  <si>
    <t>$709.70</t>
  </si>
  <si>
    <t>$731.55</t>
  </si>
  <si>
    <t>$735.7999</t>
  </si>
  <si>
    <t>$719.60</t>
  </si>
  <si>
    <t>$722.715</t>
  </si>
  <si>
    <t>$737.53</t>
  </si>
  <si>
    <t>$721.57</t>
  </si>
  <si>
    <t>$722.9099</t>
  </si>
  <si>
    <t>$714.81</t>
  </si>
  <si>
    <t>$727.00</t>
  </si>
  <si>
    <t>$713.51</t>
  </si>
  <si>
    <t>$726.61</t>
  </si>
  <si>
    <t>$729.03</t>
  </si>
  <si>
    <t>$714.42</t>
  </si>
  <si>
    <t>$715.325</t>
  </si>
  <si>
    <t>$720.30</t>
  </si>
  <si>
    <t>$712.80</t>
  </si>
  <si>
    <t>$736.875</t>
  </si>
  <si>
    <t>$737.7499</t>
  </si>
  <si>
    <t>$715.37</t>
  </si>
  <si>
    <t>$747.90</t>
  </si>
  <si>
    <t>$734.25</t>
  </si>
  <si>
    <t>$726.515</t>
  </si>
  <si>
    <t>$735.43</t>
  </si>
  <si>
    <t>$725.86</t>
  </si>
  <si>
    <t>$714.355</t>
  </si>
  <si>
    <t>$728.22</t>
  </si>
  <si>
    <t>$711.05</t>
  </si>
  <si>
    <t>$713.315</t>
  </si>
  <si>
    <t>$716.58</t>
  </si>
  <si>
    <t>$705.38</t>
  </si>
  <si>
    <t>$704.885</t>
  </si>
  <si>
    <t>$713.19</t>
  </si>
  <si>
    <t>$702.11</t>
  </si>
  <si>
    <t>$683.69</t>
  </si>
  <si>
    <t>$699.05</t>
  </si>
  <si>
    <t>$678.75</t>
  </si>
  <si>
    <t>$700.75</t>
  </si>
  <si>
    <t>$701.8197</t>
  </si>
  <si>
    <t>$678.67</t>
  </si>
  <si>
    <t>$698.18</t>
  </si>
  <si>
    <t>$701.59</t>
  </si>
  <si>
    <t>$694.90</t>
  </si>
  <si>
    <t>$702.00</t>
  </si>
  <si>
    <t>$705.97</t>
  </si>
  <si>
    <t>$696.06</t>
  </si>
  <si>
    <t>$707.15</t>
  </si>
  <si>
    <t>$693.5103</t>
  </si>
  <si>
    <t>$687.95</t>
  </si>
  <si>
    <t>$694.57</t>
  </si>
  <si>
    <t>$681.01</t>
  </si>
  <si>
    <t>$693.30</t>
  </si>
  <si>
    <t>$695.38</t>
  </si>
  <si>
    <t>$687.00</t>
  </si>
  <si>
    <t>$703.705</t>
  </si>
  <si>
    <t>$708.8707</t>
  </si>
  <si>
    <t>$691.99</t>
  </si>
  <si>
    <t>$701.345</t>
  </si>
  <si>
    <t>$703.23</t>
  </si>
  <si>
    <t>$691.56</t>
  </si>
  <si>
    <t>$698.46</t>
  </si>
  <si>
    <t>$705.19</t>
  </si>
  <si>
    <t>$693.94</t>
  </si>
  <si>
    <t>$696.17</t>
  </si>
  <si>
    <t>$702.806</t>
  </si>
  <si>
    <t>$691.87</t>
  </si>
  <si>
    <t>$691.66</t>
  </si>
  <si>
    <t>$694.38</t>
  </si>
  <si>
    <t>$682.25</t>
  </si>
  <si>
    <t>$669.32</t>
  </si>
  <si>
    <t>$689.00</t>
  </si>
  <si>
    <t>$668.57</t>
  </si>
  <si>
    <t>$671.445</t>
  </si>
  <si>
    <t>$675.58</t>
  </si>
  <si>
    <t>$665.03</t>
  </si>
  <si>
    <t>$644.39</t>
  </si>
  <si>
    <t>$673.26</t>
  </si>
  <si>
    <t>$644.2616</t>
  </si>
  <si>
    <t>$642.50</t>
  </si>
  <si>
    <t>$649.4099</t>
  </si>
  <si>
    <t>$632.78</t>
  </si>
  <si>
    <t>$651.645</t>
  </si>
  <si>
    <t>$653.32</t>
  </si>
  <si>
    <t>$639.50</t>
  </si>
  <si>
    <t>$650.88</t>
  </si>
  <si>
    <t>$642.5472</t>
  </si>
  <si>
    <t>$635.41</t>
  </si>
  <si>
    <t>$643.08</t>
  </si>
  <si>
    <t>$632.75</t>
  </si>
  <si>
    <t>$632.445</t>
  </si>
  <si>
    <t>$634.05</t>
  </si>
  <si>
    <t>$643.25</t>
  </si>
  <si>
    <t>$630.71</t>
  </si>
  <si>
    <t>$631.79</t>
  </si>
  <si>
    <t>$646.61</t>
  </si>
  <si>
    <t>$630.17</t>
  </si>
  <si>
    <t>$636.01</t>
  </si>
  <si>
    <t>$639.3536</t>
  </si>
  <si>
    <t>$632.26</t>
  </si>
  <si>
    <t>$628.25</t>
  </si>
  <si>
    <t>$643.00</t>
  </si>
  <si>
    <t>$627.80</t>
  </si>
  <si>
    <t>$637.955</t>
  </si>
  <si>
    <t>$640.44</t>
  </si>
  <si>
    <t>$626.15</t>
  </si>
  <si>
    <t>$654.275</t>
  </si>
  <si>
    <t>$657.31</t>
  </si>
  <si>
    <t>$638.58</t>
  </si>
  <si>
    <t>$661.21</t>
  </si>
  <si>
    <t>$662.67</t>
  </si>
  <si>
    <t>$654.31</t>
  </si>
  <si>
    <t>$645.545</t>
  </si>
  <si>
    <t>$660.92</t>
  </si>
  <si>
    <t>$642.83</t>
  </si>
  <si>
    <t>$630.92</t>
  </si>
  <si>
    <t>$640.3896</t>
  </si>
  <si>
    <t>$621.03</t>
  </si>
  <si>
    <t>$603.72</t>
  </si>
  <si>
    <t>$606.97</t>
  </si>
  <si>
    <t>$591.7062</t>
  </si>
  <si>
    <t>$606.285</t>
  </si>
  <si>
    <t>$611.2959</t>
  </si>
  <si>
    <t>$596.62</t>
  </si>
  <si>
    <t>$590.36</t>
  </si>
  <si>
    <t>$603.075</t>
  </si>
  <si>
    <t>$586.67</t>
  </si>
  <si>
    <t>$592.525</t>
  </si>
  <si>
    <t>$596.03</t>
  </si>
  <si>
    <t>$586.58</t>
  </si>
  <si>
    <t>$591.22</t>
  </si>
  <si>
    <t>$603.21</t>
  </si>
  <si>
    <t>$588.05</t>
  </si>
  <si>
    <t>$583.455</t>
  </si>
  <si>
    <t>$604.34</t>
  </si>
  <si>
    <t>$578.33</t>
  </si>
  <si>
    <t>$592.075</t>
  </si>
  <si>
    <t>$592.95</t>
  </si>
  <si>
    <t>$570.50</t>
  </si>
  <si>
    <t>$538.40</t>
  </si>
  <si>
    <t>$549.10</t>
  </si>
  <si>
    <t>$529.50</t>
  </si>
  <si>
    <t>$546.00</t>
  </si>
  <si>
    <t>$556.5699</t>
  </si>
  <si>
    <t>$544.12</t>
  </si>
  <si>
    <t>$555.64</t>
  </si>
  <si>
    <t>$558.4899</t>
  </si>
  <si>
    <t>$540.59</t>
  </si>
  <si>
    <t>$546.80</t>
  </si>
  <si>
    <t>$549.86</t>
  </si>
  <si>
    <t>$536.25</t>
  </si>
  <si>
    <t>$518.73</t>
  </si>
  <si>
    <t>$533.90</t>
  </si>
  <si>
    <t>$517.50</t>
  </si>
  <si>
    <t>$528.525</t>
  </si>
  <si>
    <t>$535.3376</t>
  </si>
  <si>
    <t>$516.52</t>
  </si>
  <si>
    <t>$491.87</t>
  </si>
  <si>
    <t>$506.88</t>
  </si>
  <si>
    <t>$486.36</t>
  </si>
  <si>
    <t>$491.325</t>
  </si>
  <si>
    <t>$493.50</t>
  </si>
  <si>
    <t>$479.80</t>
  </si>
  <si>
    <t>$505.25</t>
  </si>
  <si>
    <t>$507.30</t>
  </si>
  <si>
    <t>$498.0133</t>
  </si>
  <si>
    <t>$508.51</t>
  </si>
  <si>
    <t>$513.37</t>
  </si>
  <si>
    <t>$495.63</t>
  </si>
  <si>
    <t>$532.105</t>
  </si>
  <si>
    <t>$537.94</t>
  </si>
  <si>
    <t>$556.175</t>
  </si>
  <si>
    <t>$557.77</t>
  </si>
  <si>
    <t>$528.28</t>
  </si>
  <si>
    <t>$535.505</t>
  </si>
  <si>
    <t>$547.40</t>
  </si>
  <si>
    <t>$528.5901</t>
  </si>
  <si>
    <t>$575.49</t>
  </si>
  <si>
    <t>$581.30</t>
  </si>
  <si>
    <t>$535.30</t>
  </si>
  <si>
    <t>$509.265</t>
  </si>
  <si>
    <t>$587.89</t>
  </si>
  <si>
    <t>$502.11</t>
  </si>
  <si>
    <t>$543.25</t>
  </si>
  <si>
    <t>$547.43</t>
  </si>
  <si>
    <t>$502.86</t>
  </si>
  <si>
    <t>$485.10</t>
  </si>
  <si>
    <t>$539.37</t>
  </si>
  <si>
    <t>$481.90</t>
  </si>
  <si>
    <t>$506.62</t>
  </si>
  <si>
    <t>$518.00</t>
  </si>
  <si>
    <t>$494.20</t>
  </si>
  <si>
    <t>$546.22</t>
  </si>
  <si>
    <t>$552.5596</t>
  </si>
  <si>
    <t>$530.30</t>
  </si>
  <si>
    <t>$574.91</t>
  </si>
  <si>
    <t>$592.66</t>
  </si>
  <si>
    <t>$573.36</t>
  </si>
  <si>
    <t>$570.84</t>
  </si>
  <si>
    <t>$589.91</t>
  </si>
  <si>
    <t>$570.00</t>
  </si>
  <si>
    <t>$563.50</t>
  </si>
  <si>
    <t>$578.70</t>
  </si>
  <si>
    <t>$553.30</t>
  </si>
  <si>
    <t>$600.31</t>
  </si>
  <si>
    <t>$601.75</t>
  </si>
  <si>
    <t>$573.92</t>
  </si>
  <si>
    <t>$602.00</t>
  </si>
  <si>
    <t>$614.25</t>
  </si>
  <si>
    <t>$600.10</t>
  </si>
  <si>
    <t>$624.89</t>
  </si>
  <si>
    <t>$626.7499</t>
  </si>
  <si>
    <t>$606.61</t>
  </si>
  <si>
    <t>$626.76</t>
  </si>
  <si>
    <t>$633.88</t>
  </si>
  <si>
    <t>$621.18</t>
  </si>
  <si>
    <t>$614.97</t>
  </si>
  <si>
    <t>$622.54</t>
  </si>
  <si>
    <t>$612.2001</t>
  </si>
  <si>
    <t>$583.425</t>
  </si>
  <si>
    <t>$597.545</t>
  </si>
  <si>
    <t>$580.95</t>
  </si>
  <si>
    <t>$582.755</t>
  </si>
  <si>
    <t>$610.20</t>
  </si>
  <si>
    <t>$579.51</t>
  </si>
  <si>
    <t>$584.28</t>
  </si>
  <si>
    <t>$592.3223</t>
  </si>
  <si>
    <t>$574.77</t>
  </si>
  <si>
    <t>L'Oreal</t>
  </si>
  <si>
    <t>$393.80</t>
  </si>
  <si>
    <t>$406.10</t>
  </si>
  <si>
    <t>$419.95</t>
  </si>
  <si>
    <t>$419.75</t>
  </si>
  <si>
    <t>$420.96</t>
  </si>
  <si>
    <t>$398.60</t>
  </si>
  <si>
    <t>$410.00</t>
  </si>
  <si>
    <t>$402.262</t>
  </si>
  <si>
    <t>$416.92</t>
  </si>
  <si>
    <t>$399.00</t>
  </si>
  <si>
    <t>$412.00</t>
  </si>
  <si>
    <t>$425.00</t>
  </si>
  <si>
    <t>$429.64</t>
  </si>
  <si>
    <t>$428.25</t>
  </si>
  <si>
    <t>$412.1492</t>
  </si>
  <si>
    <t>$415.76</t>
  </si>
  <si>
    <t>$432.88</t>
  </si>
  <si>
    <t>$432.50</t>
  </si>
  <si>
    <t>$438.00</t>
  </si>
  <si>
    <t>$418.224</t>
  </si>
  <si>
    <t>$420.7561</t>
  </si>
  <si>
    <t>$439.692</t>
  </si>
  <si>
    <t>$415.3919</t>
  </si>
  <si>
    <t>$412.55</t>
  </si>
  <si>
    <t>$447.2399</t>
  </si>
  <si>
    <t>$428.22</t>
  </si>
  <si>
    <t>$451.30</t>
  </si>
  <si>
    <t>$423.85</t>
  </si>
  <si>
    <t>$428.732</t>
  </si>
  <si>
    <t>$446.51</t>
  </si>
  <si>
    <t>$438.70</t>
  </si>
  <si>
    <t>$448.59</t>
  </si>
  <si>
    <t>$421.0191</t>
  </si>
  <si>
    <t>$447.00</t>
  </si>
  <si>
    <t>$457.50</t>
  </si>
  <si>
    <t>$465.04</t>
  </si>
  <si>
    <t>$438.79</t>
  </si>
  <si>
    <t>$458.00</t>
  </si>
  <si>
    <t>$481.72</t>
  </si>
  <si>
    <t>$473.20</t>
  </si>
  <si>
    <t>$459.00</t>
  </si>
  <si>
    <t>$461.40</t>
  </si>
  <si>
    <t>$480.00</t>
  </si>
  <si>
    <t>$463.65</t>
  </si>
  <si>
    <t>$479.75</t>
  </si>
  <si>
    <t>$476.576</t>
  </si>
  <si>
    <t>$478.31</t>
  </si>
  <si>
    <t>$458.32</t>
  </si>
  <si>
    <t>$466.12</t>
  </si>
  <si>
    <t>$470.00</t>
  </si>
  <si>
    <t>$450.60</t>
  </si>
  <si>
    <t>$474.45</t>
  </si>
  <si>
    <t>$452.25</t>
  </si>
  <si>
    <t>$457.00</t>
  </si>
  <si>
    <t>$479.99</t>
  </si>
  <si>
    <t>$456.77</t>
  </si>
  <si>
    <t>$442.70</t>
  </si>
  <si>
    <t>$455.00</t>
  </si>
  <si>
    <t>$433.65</t>
  </si>
  <si>
    <t>$420.00</t>
  </si>
  <si>
    <t>$472.20</t>
  </si>
  <si>
    <t>$475.21</t>
  </si>
  <si>
    <t>$456.55</t>
  </si>
  <si>
    <t>$485.40</t>
  </si>
  <si>
    <t>$460.12</t>
  </si>
  <si>
    <t>$464.151</t>
  </si>
  <si>
    <t>$453.00</t>
  </si>
  <si>
    <t>$474.00</t>
  </si>
  <si>
    <t>$476.10</t>
  </si>
  <si>
    <t>$450.01</t>
  </si>
  <si>
    <t>$472.50</t>
  </si>
  <si>
    <t>$475.25</t>
  </si>
  <si>
    <t>$468.70</t>
  </si>
  <si>
    <t>$480.88</t>
  </si>
  <si>
    <t>$467.7614</t>
  </si>
  <si>
    <t>$465.222</t>
  </si>
  <si>
    <t>$444.80</t>
  </si>
  <si>
    <t>$472.40</t>
  </si>
  <si>
    <t>$450.76</t>
  </si>
  <si>
    <t>$467.28</t>
  </si>
  <si>
    <t>$446.80</t>
  </si>
  <si>
    <t>$485.61</t>
  </si>
  <si>
    <t>$442.91</t>
  </si>
  <si>
    <t>$448.00</t>
  </si>
  <si>
    <t>$447.32</t>
  </si>
  <si>
    <t>$466.13</t>
  </si>
  <si>
    <t>$441.05</t>
  </si>
  <si>
    <t>$441.00</t>
  </si>
  <si>
    <t>$460.00</t>
  </si>
  <si>
    <t>$471.23</t>
  </si>
  <si>
    <t>$437.00</t>
  </si>
  <si>
    <t>$466.60</t>
  </si>
  <si>
    <t>$449.20</t>
  </si>
  <si>
    <t>$459.14</t>
  </si>
  <si>
    <t>$470.75</t>
  </si>
  <si>
    <t>$426.65</t>
  </si>
  <si>
    <t>$438.122</t>
  </si>
  <si>
    <t>$463.156</t>
  </si>
  <si>
    <t>$430.90</t>
  </si>
  <si>
    <t>$452.49</t>
  </si>
  <si>
    <t>$454.65</t>
  </si>
  <si>
    <t>$440.44</t>
  </si>
  <si>
    <t>$447.66</t>
  </si>
  <si>
    <t>$456.985</t>
  </si>
  <si>
    <t>$461.594</t>
  </si>
  <si>
    <t>$443.00</t>
  </si>
  <si>
    <t>$466.52</t>
  </si>
  <si>
    <t>$441.95</t>
  </si>
  <si>
    <t>$466.31</t>
  </si>
  <si>
    <t>$446.95</t>
  </si>
  <si>
    <t>$449.70</t>
  </si>
  <si>
    <t>$444.75</t>
  </si>
  <si>
    <t>$438.90</t>
  </si>
  <si>
    <t>$430.80</t>
  </si>
  <si>
    <t>$429.50</t>
  </si>
  <si>
    <t>$410.9375</t>
  </si>
  <si>
    <t>$432.60</t>
  </si>
  <si>
    <t>$408.16</t>
  </si>
  <si>
    <t>$432.80</t>
  </si>
  <si>
    <t>$420.04</t>
  </si>
  <si>
    <t>$436.02</t>
  </si>
  <si>
    <t>$408.10</t>
  </si>
  <si>
    <t>$436.12</t>
  </si>
  <si>
    <t>$448.42</t>
  </si>
  <si>
    <t>$425.76</t>
  </si>
  <si>
    <t>$427.992</t>
  </si>
  <si>
    <t>$444.168</t>
  </si>
  <si>
    <t>$427.1076</t>
  </si>
  <si>
    <t>$430.77</t>
  </si>
  <si>
    <t>$437.58</t>
  </si>
  <si>
    <t>$422.60</t>
  </si>
  <si>
    <t>$433.30</t>
  </si>
  <si>
    <t>$436.72</t>
  </si>
  <si>
    <t>$426.616</t>
  </si>
  <si>
    <t>$446.54</t>
  </si>
  <si>
    <t>$417.86</t>
  </si>
  <si>
    <t>$441.40</t>
  </si>
  <si>
    <t>$423.59</t>
  </si>
  <si>
    <t>$426.82</t>
  </si>
  <si>
    <t>$441.28</t>
  </si>
  <si>
    <t>$424.60</t>
  </si>
  <si>
    <t>$427.30</t>
  </si>
  <si>
    <t>$437.15</t>
  </si>
  <si>
    <t>$441.90</t>
  </si>
  <si>
    <t>$426.76</t>
  </si>
  <si>
    <t>$438.80</t>
  </si>
  <si>
    <t>$440.4988</t>
  </si>
  <si>
    <t>$444.974</t>
  </si>
  <si>
    <t>$436.70</t>
  </si>
  <si>
    <t>$446.10</t>
  </si>
  <si>
    <t>$433.70</t>
  </si>
  <si>
    <t>$445.70</t>
  </si>
  <si>
    <t>$429.70</t>
  </si>
  <si>
    <t>$445.41</t>
  </si>
  <si>
    <t>$425.90</t>
  </si>
  <si>
    <t>$430.34</t>
  </si>
  <si>
    <t>$450.00</t>
  </si>
  <si>
    <t>$435.84</t>
  </si>
  <si>
    <t>$440.36</t>
  </si>
  <si>
    <t>$426.90</t>
  </si>
  <si>
    <t>$435.80</t>
  </si>
  <si>
    <t>$435.224</t>
  </si>
  <si>
    <t>$419.20</t>
  </si>
  <si>
    <t>$422.166</t>
  </si>
  <si>
    <t>$437.65</t>
  </si>
  <si>
    <t>$439.58</t>
  </si>
  <si>
    <t>$412.76</t>
  </si>
  <si>
    <t>$428.10</t>
  </si>
  <si>
    <t>$436.69</t>
  </si>
  <si>
    <t>$450.50</t>
  </si>
  <si>
    <t>$425.80</t>
  </si>
  <si>
    <t>$443.65</t>
  </si>
  <si>
    <t>$423.93</t>
  </si>
  <si>
    <t>$451.94</t>
  </si>
  <si>
    <t>$429.5375</t>
  </si>
  <si>
    <t>$428.7746</t>
  </si>
  <si>
    <t>$452.34</t>
  </si>
  <si>
    <t>$437.3753</t>
  </si>
  <si>
    <t>$447.02</t>
  </si>
  <si>
    <t>$433.469</t>
  </si>
  <si>
    <t>$429.68</t>
  </si>
  <si>
    <t>$453.18</t>
  </si>
  <si>
    <t>$420.50</t>
  </si>
  <si>
    <t>$419.46</t>
  </si>
  <si>
    <t>$436.59</t>
  </si>
  <si>
    <t>$413.75</t>
  </si>
  <si>
    <t>$436.40</t>
  </si>
  <si>
    <t>$413.60</t>
  </si>
  <si>
    <t>$430.254</t>
  </si>
  <si>
    <t>$403.328</t>
  </si>
  <si>
    <t>$404.844</t>
  </si>
  <si>
    <t>$424.156</t>
  </si>
  <si>
    <t>$400.042</t>
  </si>
  <si>
    <t>$429.91</t>
  </si>
  <si>
    <t>$400.00</t>
  </si>
  <si>
    <t>$405.34</t>
  </si>
  <si>
    <t>$421.71</t>
  </si>
  <si>
    <t>$409.95</t>
  </si>
  <si>
    <t>$425.34</t>
  </si>
  <si>
    <t>$407.32</t>
  </si>
  <si>
    <t>$423.24</t>
  </si>
  <si>
    <t>$425.95</t>
  </si>
  <si>
    <t>$406.75</t>
  </si>
  <si>
    <t>$414.392</t>
  </si>
  <si>
    <t>$427.2125</t>
  </si>
  <si>
    <t>$431.95</t>
  </si>
  <si>
    <t>$409.43</t>
  </si>
  <si>
    <t>$425.57</t>
  </si>
  <si>
    <t>$426.66</t>
  </si>
  <si>
    <t>$408.68</t>
  </si>
  <si>
    <t>$418.81</t>
  </si>
  <si>
    <t>$404.70</t>
  </si>
  <si>
    <t>$423.00</t>
  </si>
  <si>
    <t>$400.01</t>
  </si>
  <si>
    <t>$409.746</t>
  </si>
  <si>
    <t>$417.69</t>
  </si>
  <si>
    <t>$403.97</t>
  </si>
  <si>
    <t>$426.72</t>
  </si>
  <si>
    <t>$404.20</t>
  </si>
  <si>
    <t>$424.96</t>
  </si>
  <si>
    <t>$425.266</t>
  </si>
  <si>
    <t>$413.14</t>
  </si>
  <si>
    <t>$420.70</t>
  </si>
  <si>
    <t>$434.85</t>
  </si>
  <si>
    <t>$412.21</t>
  </si>
  <si>
    <t>$431.38</t>
  </si>
  <si>
    <t>$417.30</t>
  </si>
  <si>
    <t>$414.166</t>
  </si>
  <si>
    <t>$443.26</t>
  </si>
  <si>
    <t>$418.00</t>
  </si>
  <si>
    <t>$441.70</t>
  </si>
  <si>
    <t>$418.70</t>
  </si>
  <si>
    <t>$430.14</t>
  </si>
  <si>
    <t>$448.74</t>
  </si>
  <si>
    <t>$430.01</t>
  </si>
  <si>
    <t>$435.90</t>
  </si>
  <si>
    <t>$450.902</t>
  </si>
  <si>
    <t>$433.0499</t>
  </si>
  <si>
    <t>$425.85</t>
  </si>
  <si>
    <t>$450.68</t>
  </si>
  <si>
    <t>$453.15</t>
  </si>
  <si>
    <t>$430.00</t>
  </si>
  <si>
    <t>$447.696</t>
  </si>
  <si>
    <t>$447.84</t>
  </si>
  <si>
    <t>$464.97</t>
  </si>
  <si>
    <t>$469.00</t>
  </si>
  <si>
    <t>$429.816</t>
  </si>
  <si>
    <t>$467.06</t>
  </si>
  <si>
    <t>$469.156</t>
  </si>
  <si>
    <t>$454.0729</t>
  </si>
  <si>
    <t>$458.1174</t>
  </si>
  <si>
    <t>$451.02</t>
  </si>
  <si>
    <t>$452.75</t>
  </si>
  <si>
    <t>$437.80</t>
  </si>
  <si>
    <t>$442.825</t>
  </si>
  <si>
    <t>$437.90</t>
  </si>
  <si>
    <t>$422.46</t>
  </si>
  <si>
    <t>$425.46</t>
  </si>
  <si>
    <t>$421.90</t>
  </si>
  <si>
    <t>$442.06</t>
  </si>
  <si>
    <t>$426.10</t>
  </si>
  <si>
    <t>$450.32</t>
  </si>
  <si>
    <t>$431.60</t>
  </si>
  <si>
    <t>$453.04</t>
  </si>
  <si>
    <t>$443.40</t>
  </si>
  <si>
    <t>$435.89</t>
  </si>
  <si>
    <t>$454.87</t>
  </si>
  <si>
    <t>$430.55</t>
  </si>
  <si>
    <t>$443.64</t>
  </si>
  <si>
    <t>$443.84</t>
  </si>
  <si>
    <t>$436.00</t>
  </si>
  <si>
    <t>$454.8125</t>
  </si>
  <si>
    <t>$433.69</t>
  </si>
  <si>
    <t>$451.21</t>
  </si>
  <si>
    <t>$433.684</t>
  </si>
  <si>
    <t>$433.07</t>
  </si>
  <si>
    <t>$441.54</t>
  </si>
  <si>
    <t>$427.11</t>
  </si>
  <si>
    <t>$432.00</t>
  </si>
  <si>
    <t>$448.25</t>
  </si>
  <si>
    <t>$443.53</t>
  </si>
  <si>
    <t>$420.95</t>
  </si>
  <si>
    <t>$425.30</t>
  </si>
  <si>
    <t>$422.50</t>
  </si>
  <si>
    <t>$426.48</t>
  </si>
  <si>
    <t>$435.42</t>
  </si>
  <si>
    <t>$419.50</t>
  </si>
  <si>
    <t>$430.58</t>
  </si>
  <si>
    <t>$441.32</t>
  </si>
  <si>
    <t>$426.00</t>
  </si>
  <si>
    <t>$443.3568</t>
  </si>
  <si>
    <t>$456.45</t>
  </si>
  <si>
    <t>$439.9101</t>
  </si>
  <si>
    <t>$428.49</t>
  </si>
  <si>
    <t>$437.46</t>
  </si>
  <si>
    <t>$424.45</t>
  </si>
  <si>
    <t>$450.93</t>
  </si>
  <si>
    <t>$432.956</t>
  </si>
  <si>
    <t>$440.25</t>
  </si>
  <si>
    <t>$442.592</t>
  </si>
  <si>
    <t>$451.598</t>
  </si>
  <si>
    <t>$439.39</t>
  </si>
  <si>
    <t>$451.90</t>
  </si>
  <si>
    <t>$454.22</t>
  </si>
  <si>
    <t>$458.142</t>
  </si>
  <si>
    <t>$439.20</t>
  </si>
  <si>
    <t>$472.404</t>
  </si>
  <si>
    <t>$444.156</t>
  </si>
  <si>
    <t>$444.33</t>
  </si>
  <si>
    <t>$464.8776</t>
  </si>
  <si>
    <t>$466.04</t>
  </si>
  <si>
    <t>$449.975</t>
  </si>
  <si>
    <t>$461.00</t>
  </si>
  <si>
    <t>$472.464</t>
  </si>
  <si>
    <t>$451.096</t>
  </si>
  <si>
    <t>$462.176</t>
  </si>
  <si>
    <t>$466.494</t>
  </si>
  <si>
    <t>$476.50</t>
  </si>
  <si>
    <t>$462.50</t>
  </si>
  <si>
    <t>$476.20</t>
  </si>
  <si>
    <t>$464.80</t>
  </si>
  <si>
    <t>$475.90</t>
  </si>
  <si>
    <t>$475.00</t>
  </si>
  <si>
    <t>$469.574</t>
  </si>
  <si>
    <t>$464.10</t>
  </si>
  <si>
    <t>$468.80</t>
  </si>
  <si>
    <t>$465.20</t>
  </si>
  <si>
    <t>$453.80</t>
  </si>
  <si>
    <t>$466.75</t>
  </si>
  <si>
    <t>$475.12</t>
  </si>
  <si>
    <t>$461.02</t>
  </si>
  <si>
    <t>$477.02</t>
  </si>
  <si>
    <t>$460.50</t>
  </si>
  <si>
    <t>$454.15</t>
  </si>
  <si>
    <t>$470.176</t>
  </si>
  <si>
    <t>$462.30</t>
  </si>
  <si>
    <t>$461.404</t>
  </si>
  <si>
    <t>$475.328</t>
  </si>
  <si>
    <t>$456.90</t>
  </si>
  <si>
    <t>$473.50</t>
  </si>
  <si>
    <t>$464.292</t>
  </si>
  <si>
    <t>$461.50</t>
  </si>
  <si>
    <t>$480.68</t>
  </si>
  <si>
    <t>$461.12</t>
  </si>
  <si>
    <t>$467.20</t>
  </si>
  <si>
    <t>$478.63</t>
  </si>
  <si>
    <t>$462.00</t>
  </si>
  <si>
    <t>$456.00</t>
  </si>
  <si>
    <t>$460.3166</t>
  </si>
  <si>
    <t>$458.99</t>
  </si>
  <si>
    <t>$449.96</t>
  </si>
  <si>
    <t>$458.525</t>
  </si>
  <si>
    <t>$461.1094</t>
  </si>
  <si>
    <t>$447.64</t>
  </si>
  <si>
    <t>$456.60</t>
  </si>
  <si>
    <t>$456.29</t>
  </si>
  <si>
    <t>$448.60</t>
  </si>
  <si>
    <t>$448.06</t>
  </si>
  <si>
    <t>$433.00</t>
  </si>
  <si>
    <t>$436.56</t>
  </si>
  <si>
    <t>$440.75</t>
  </si>
  <si>
    <t>$448.94</t>
  </si>
  <si>
    <t>$468.86</t>
  </si>
  <si>
    <t>$431.50</t>
  </si>
  <si>
    <t>$447.49</t>
  </si>
  <si>
    <t>$442.54</t>
  </si>
  <si>
    <t>$441.362</t>
  </si>
  <si>
    <t>$434.77</t>
  </si>
  <si>
    <t>$422.978</t>
  </si>
  <si>
    <t>$446.122</t>
  </si>
  <si>
    <t>$444.23</t>
  </si>
  <si>
    <t>$432.92</t>
  </si>
  <si>
    <t>$439.24</t>
  </si>
  <si>
    <t>$447.9876</t>
  </si>
  <si>
    <t>$441.198</t>
  </si>
  <si>
    <t>$438.49</t>
  </si>
  <si>
    <t>$410.36</t>
  </si>
  <si>
    <t>$444.05</t>
  </si>
  <si>
    <t>$428.80</t>
  </si>
  <si>
    <t>$431.92</t>
  </si>
  <si>
    <t>$447.378</t>
  </si>
  <si>
    <t>$430.64</t>
  </si>
  <si>
    <t>$446.00</t>
  </si>
  <si>
    <t>$446.94</t>
  </si>
  <si>
    <t>$447.4327</t>
  </si>
  <si>
    <t>$430.50</t>
  </si>
  <si>
    <t>$421.16</t>
  </si>
  <si>
    <t>$436.04</t>
  </si>
  <si>
    <t>$421.40</t>
  </si>
  <si>
    <t>$420.7402</t>
  </si>
  <si>
    <t>$432.74</t>
  </si>
  <si>
    <t>$435.61</t>
  </si>
  <si>
    <t>$414.05</t>
  </si>
  <si>
    <t>$429.52</t>
  </si>
  <si>
    <t>$417.20</t>
  </si>
  <si>
    <t>$418.60</t>
  </si>
  <si>
    <t>$424.044</t>
  </si>
  <si>
    <t>$432.40</t>
  </si>
  <si>
    <t>$433.56</t>
  </si>
  <si>
    <t>$437.294</t>
  </si>
  <si>
    <t>$420.40</t>
  </si>
  <si>
    <t>$428.40</t>
  </si>
  <si>
    <t>$428.87</t>
  </si>
  <si>
    <t>$440.48</t>
  </si>
  <si>
    <t>$442.65</t>
  </si>
  <si>
    <t>$431.68</t>
  </si>
  <si>
    <t>$438.20</t>
  </si>
  <si>
    <t>$438.116</t>
  </si>
  <si>
    <t>$435.784</t>
  </si>
  <si>
    <t>$447.01</t>
  </si>
  <si>
    <t>$447.15</t>
  </si>
  <si>
    <t>$427.16</t>
  </si>
  <si>
    <t>$430.25</t>
  </si>
  <si>
    <t>$430.24</t>
  </si>
  <si>
    <t>$438.36</t>
  </si>
  <si>
    <t>$439.5217</t>
  </si>
  <si>
    <t>$435.40</t>
  </si>
  <si>
    <t>$437.70</t>
  </si>
  <si>
    <t>$440.7153</t>
  </si>
  <si>
    <t>$432.072</t>
  </si>
  <si>
    <t>$441.618</t>
  </si>
  <si>
    <t>$430.40</t>
  </si>
  <si>
    <t>$425.45</t>
  </si>
  <si>
    <t>$421.00</t>
  </si>
  <si>
    <t>$424.494</t>
  </si>
  <si>
    <t>$410.40</t>
  </si>
  <si>
    <t>$416.40</t>
  </si>
  <si>
    <t>$434.45</t>
  </si>
  <si>
    <t>$406.20</t>
  </si>
  <si>
    <t>$429.20</t>
  </si>
  <si>
    <t>$414.00</t>
  </si>
  <si>
    <t>$405.15</t>
  </si>
  <si>
    <t>$404.2234</t>
  </si>
  <si>
    <t>$412.35</t>
  </si>
  <si>
    <t>$431.90</t>
  </si>
  <si>
    <t>$421.10</t>
  </si>
  <si>
    <t>$430.225</t>
  </si>
  <si>
    <t>$433.57</t>
  </si>
  <si>
    <t>$419.5499</t>
  </si>
  <si>
    <t>$426.3859</t>
  </si>
  <si>
    <t>$437.18</t>
  </si>
  <si>
    <t>$438.55</t>
  </si>
  <si>
    <t>$425.3499</t>
  </si>
  <si>
    <t>$440.64</t>
  </si>
  <si>
    <t>$442.85</t>
  </si>
  <si>
    <t>$434.15</t>
  </si>
  <si>
    <t>$428.36</t>
  </si>
  <si>
    <t>$444.79</t>
  </si>
  <si>
    <t>$429.30</t>
  </si>
  <si>
    <t>$440.70</t>
  </si>
  <si>
    <t>$424.00</t>
  </si>
  <si>
    <t>$443.50</t>
  </si>
  <si>
    <t>$428.00</t>
  </si>
  <si>
    <t>$440.00</t>
  </si>
  <si>
    <t>$435.1839</t>
  </si>
  <si>
    <t>$447.50</t>
  </si>
  <si>
    <t>$444.6178</t>
  </si>
  <si>
    <t>$428.60</t>
  </si>
  <si>
    <t>$415.05</t>
  </si>
  <si>
    <t>$420.76</t>
  </si>
  <si>
    <t>$437.866</t>
  </si>
  <si>
    <t>$436.83</t>
  </si>
  <si>
    <t>$413.95</t>
  </si>
  <si>
    <t>$422.00</t>
  </si>
  <si>
    <t>$430.45</t>
  </si>
  <si>
    <t>$420.7129</t>
  </si>
  <si>
    <t>$427.56</t>
  </si>
  <si>
    <t>$410.64</t>
  </si>
  <si>
    <t>$430.10</t>
  </si>
  <si>
    <t>$430.576</t>
  </si>
  <si>
    <t>$405.00</t>
  </si>
  <si>
    <t>$433.53</t>
  </si>
  <si>
    <t>$422.0499</t>
  </si>
  <si>
    <t>$428.70</t>
  </si>
  <si>
    <t>$430.20</t>
  </si>
  <si>
    <t>$432.224</t>
  </si>
  <si>
    <t>$434.20</t>
  </si>
  <si>
    <t>$423.806</t>
  </si>
  <si>
    <t>$428.888</t>
  </si>
  <si>
    <t>$444.37</t>
  </si>
  <si>
    <t>$441.16</t>
  </si>
  <si>
    <t>$418.20</t>
  </si>
  <si>
    <t>$428.6352</t>
  </si>
  <si>
    <t>$428.27</t>
  </si>
  <si>
    <t>$417.08</t>
  </si>
  <si>
    <t>$432.08</t>
  </si>
  <si>
    <t>$409.40</t>
  </si>
  <si>
    <t>$433.43</t>
  </si>
  <si>
    <t>$416.42</t>
  </si>
  <si>
    <t>$429.762</t>
  </si>
  <si>
    <t>$431.808</t>
  </si>
  <si>
    <t>$416.65</t>
  </si>
  <si>
    <t>$435.775</t>
  </si>
  <si>
    <t>$444.40</t>
  </si>
  <si>
    <t>$455.40</t>
  </si>
  <si>
    <t>$431.12</t>
  </si>
  <si>
    <t>$427.36</t>
  </si>
  <si>
    <t>$444.34</t>
  </si>
  <si>
    <t>$424.5499</t>
  </si>
  <si>
    <t>$439.082</t>
  </si>
  <si>
    <t>$413.96</t>
  </si>
  <si>
    <t>$432.776</t>
  </si>
  <si>
    <t>$419.24</t>
  </si>
  <si>
    <t>$450.342</t>
  </si>
  <si>
    <t>$431.4944</t>
  </si>
  <si>
    <t>$439.05</t>
  </si>
  <si>
    <t>$447.81</t>
  </si>
  <si>
    <t>$445.00</t>
  </si>
  <si>
    <t>$447.70</t>
  </si>
  <si>
    <t>$437.79</t>
  </si>
  <si>
    <t>$441.1846</t>
  </si>
  <si>
    <t>$443.5479</t>
  </si>
  <si>
    <t>$427.24</t>
  </si>
  <si>
    <t>$439.582</t>
  </si>
  <si>
    <t>$444.70</t>
  </si>
  <si>
    <t>$427.50</t>
  </si>
  <si>
    <t>$438.64</t>
  </si>
  <si>
    <t>$443.294</t>
  </si>
  <si>
    <t>$420.68</t>
  </si>
  <si>
    <t>$432.34</t>
  </si>
  <si>
    <t>$433.51</t>
  </si>
  <si>
    <t>$435.47</t>
  </si>
  <si>
    <t>$419.28</t>
  </si>
  <si>
    <t>$422.84</t>
  </si>
  <si>
    <t>$434.51</t>
  </si>
  <si>
    <t>$422.05</t>
  </si>
  <si>
    <t>$423.70</t>
  </si>
  <si>
    <t>$399.40</t>
  </si>
  <si>
    <t>$417.9358</t>
  </si>
  <si>
    <t>$407.44</t>
  </si>
  <si>
    <t>$407.80</t>
  </si>
  <si>
    <t>$379.00</t>
  </si>
  <si>
    <t>$370.10</t>
  </si>
  <si>
    <t>$415.00</t>
  </si>
  <si>
    <t>$381.25</t>
  </si>
  <si>
    <t>$392.35</t>
  </si>
  <si>
    <t>$377.55</t>
  </si>
  <si>
    <t>$386.85</t>
  </si>
  <si>
    <t>$390.499</t>
  </si>
  <si>
    <t>$384.888</t>
  </si>
  <si>
    <t>$387.75</t>
  </si>
  <si>
    <t>$391.76</t>
  </si>
  <si>
    <t>$401.69</t>
  </si>
  <si>
    <t>$392.1999</t>
  </si>
  <si>
    <t>$404.95</t>
  </si>
  <si>
    <t>$390.59</t>
  </si>
  <si>
    <t>$381.582</t>
  </si>
  <si>
    <t>$398.05</t>
  </si>
  <si>
    <t>$380.28</t>
  </si>
  <si>
    <t>$377.04</t>
  </si>
  <si>
    <t>$405.95</t>
  </si>
  <si>
    <t>$360.00</t>
  </si>
  <si>
    <t>$375.99</t>
  </si>
  <si>
    <t>$378.00</t>
  </si>
  <si>
    <t>$362.75</t>
  </si>
  <si>
    <t>$366.575</t>
  </si>
  <si>
    <t>$380.832</t>
  </si>
  <si>
    <t>$363.50</t>
  </si>
  <si>
    <t>$368.00</t>
  </si>
  <si>
    <t>$390.01</t>
  </si>
  <si>
    <t>$392.442</t>
  </si>
  <si>
    <t>$383.08</t>
  </si>
  <si>
    <t>$377.54</t>
  </si>
  <si>
    <t>$390.586</t>
  </si>
  <si>
    <t>$381.634</t>
  </si>
  <si>
    <t>$386.34</t>
  </si>
  <si>
    <t>$371.70</t>
  </si>
  <si>
    <t>$371.932</t>
  </si>
  <si>
    <t>$380.65</t>
  </si>
  <si>
    <t>$363.01</t>
  </si>
  <si>
    <t>$365.55</t>
  </si>
  <si>
    <t>$370.00</t>
  </si>
  <si>
    <t>$379.28</t>
  </si>
  <si>
    <t>$364.40</t>
  </si>
  <si>
    <t>$371.60</t>
  </si>
  <si>
    <t>$372.72</t>
  </si>
  <si>
    <t>$366.6846</t>
  </si>
  <si>
    <t>$378.16</t>
  </si>
  <si>
    <t>$385.538</t>
  </si>
  <si>
    <t>$373.86</t>
  </si>
  <si>
    <t>$373.664</t>
  </si>
  <si>
    <t>$374.49</t>
  </si>
  <si>
    <t>$380.68</t>
  </si>
  <si>
    <t>$385.41</t>
  </si>
  <si>
    <t>$387.96</t>
  </si>
  <si>
    <t>$383.07</t>
  </si>
  <si>
    <t>$376.89</t>
  </si>
  <si>
    <t>$394.51</t>
  </si>
  <si>
    <t>$398.25</t>
  </si>
  <si>
    <t>$383.29</t>
  </si>
  <si>
    <t>$394.00</t>
  </si>
  <si>
    <t>$398.20</t>
  </si>
  <si>
    <t>$387.00</t>
  </si>
  <si>
    <t>Kenechukwu</t>
  </si>
  <si>
    <t>Lisa</t>
  </si>
  <si>
    <t>Ken-Morgan</t>
  </si>
  <si>
    <t>Ken-Lisa</t>
  </si>
  <si>
    <t>Morgan-Lisa</t>
  </si>
  <si>
    <t xml:space="preserve"> Ken-Morgan </t>
  </si>
  <si>
    <t>w1</t>
  </si>
  <si>
    <t>w3</t>
  </si>
  <si>
    <t>w2</t>
  </si>
  <si>
    <t>St Dev</t>
  </si>
  <si>
    <t>Exp Ret</t>
  </si>
  <si>
    <t>Port Var</t>
  </si>
  <si>
    <t>Port StDev</t>
  </si>
  <si>
    <t>Port Exp Ret</t>
  </si>
  <si>
    <t>Mean K</t>
  </si>
  <si>
    <t>Mean L'Oreal</t>
  </si>
  <si>
    <t>Var K</t>
  </si>
  <si>
    <t>Var Meta</t>
  </si>
  <si>
    <t>Var L'Oreal</t>
  </si>
  <si>
    <t>Cov(K,Meta)</t>
  </si>
  <si>
    <t>Cov(K,L'Oreal)</t>
  </si>
  <si>
    <t>Cov(Meta, L'Oreal)</t>
  </si>
  <si>
    <t>Mean Meta</t>
  </si>
  <si>
    <t>Matrix portfolio of expected returns</t>
  </si>
  <si>
    <t>Matrix Portfolio of Standard Deviations</t>
  </si>
  <si>
    <t>St Dev (X-axis)</t>
  </si>
  <si>
    <t>Exp Return (Y-axis)</t>
  </si>
  <si>
    <t>Ccross</t>
  </si>
  <si>
    <t>Ccircle</t>
  </si>
  <si>
    <t>Bcircle</t>
  </si>
  <si>
    <t>Bcross</t>
  </si>
  <si>
    <t>Acircle</t>
  </si>
  <si>
    <t>Across</t>
  </si>
  <si>
    <t>Portfolio Efficient/Inefficient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</si>
</sst>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00000_-;\-* #,##0.0000000_-;_-* &quot;-&quot;??_-;_-@_-"/>
    <numFmt numFmtId="166" formatCode="0.0000000"/>
    <numFmt numFmtId="167" formatCode="0.00000000"/>
  </numFmts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  <font>
      <b/>
      <sz val="22"/>
      <color theme="1"/>
      <name val="Arial"/>
      <family val="2"/>
    </font>
    <font>
      <sz val="16"/>
      <color theme="1"/>
      <name val="Aptos Narrow"/>
      <scheme val="minor"/>
    </font>
    <font>
      <b/>
      <sz val="16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10" xfId="0" applyBorder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14" fontId="23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4" fontId="26" fillId="0" borderId="0" xfId="0" applyNumberFormat="1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9" fillId="0" borderId="10" xfId="0" applyFont="1" applyBorder="1"/>
    <xf numFmtId="164" fontId="0" fillId="0" borderId="10" xfId="0" applyNumberFormat="1" applyBorder="1"/>
    <xf numFmtId="0" fontId="31" fillId="0" borderId="10" xfId="0" applyFont="1" applyBorder="1"/>
    <xf numFmtId="165" fontId="0" fillId="0" borderId="0" xfId="1" applyNumberFormat="1" applyFont="1" applyBorder="1"/>
    <xf numFmtId="0" fontId="32" fillId="0" borderId="11" xfId="0" applyFont="1" applyBorder="1"/>
    <xf numFmtId="0" fontId="33" fillId="0" borderId="13" xfId="0" applyFont="1" applyBorder="1"/>
    <xf numFmtId="0" fontId="33" fillId="0" borderId="10" xfId="0" applyFont="1" applyBorder="1"/>
    <xf numFmtId="167" fontId="0" fillId="0" borderId="10" xfId="2" applyNumberFormat="1" applyFont="1" applyBorder="1"/>
    <xf numFmtId="166" fontId="33" fillId="0" borderId="13" xfId="0" applyNumberFormat="1" applyFont="1" applyBorder="1"/>
    <xf numFmtId="167" fontId="33" fillId="0" borderId="13" xfId="0" applyNumberFormat="1" applyFont="1" applyBorder="1"/>
    <xf numFmtId="0" fontId="31" fillId="0" borderId="0" xfId="0" applyFont="1"/>
    <xf numFmtId="166" fontId="21" fillId="0" borderId="0" xfId="0" applyNumberFormat="1" applyFont="1"/>
    <xf numFmtId="167" fontId="0" fillId="0" borderId="10" xfId="0" applyNumberFormat="1" applyBorder="1"/>
    <xf numFmtId="0" fontId="34" fillId="0" borderId="12" xfId="0" applyFont="1" applyBorder="1"/>
    <xf numFmtId="164" fontId="34" fillId="0" borderId="11" xfId="0" applyNumberFormat="1" applyFont="1" applyBorder="1"/>
    <xf numFmtId="167" fontId="0" fillId="0" borderId="0" xfId="0" applyNumberFormat="1"/>
    <xf numFmtId="2" fontId="0" fillId="0" borderId="0" xfId="0" applyNumberFormat="1"/>
    <xf numFmtId="166" fontId="0" fillId="0" borderId="0" xfId="0" applyNumberFormat="1"/>
    <xf numFmtId="0" fontId="36" fillId="0" borderId="0" xfId="0" applyFont="1"/>
    <xf numFmtId="0" fontId="35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Mean-Variance Portfolio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Portfolio!$AS$1</c:f>
              <c:strCache>
                <c:ptCount val="1"/>
                <c:pt idx="0">
                  <c:v>Exp Ret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Portfolio!$AR$2:$AR$962</c:f>
              <c:numCache>
                <c:formatCode>General</c:formatCode>
                <c:ptCount val="961"/>
                <c:pt idx="0">
                  <c:v>6.0995218871077068E-2</c:v>
                </c:pt>
                <c:pt idx="1">
                  <c:v>5.8290536494169314E-2</c:v>
                </c:pt>
                <c:pt idx="2">
                  <c:v>5.5642456805402099E-2</c:v>
                </c:pt>
                <c:pt idx="3">
                  <c:v>5.3059455225430457E-2</c:v>
                </c:pt>
                <c:pt idx="4">
                  <c:v>5.0551508515704509E-2</c:v>
                </c:pt>
                <c:pt idx="5">
                  <c:v>4.8130350845622331E-2</c:v>
                </c:pt>
                <c:pt idx="6">
                  <c:v>4.5809745325067201E-2</c:v>
                </c:pt>
                <c:pt idx="7">
                  <c:v>4.3605748427103061E-2</c:v>
                </c:pt>
                <c:pt idx="8">
                  <c:v>4.1536926462408745E-2</c:v>
                </c:pt>
                <c:pt idx="9">
                  <c:v>3.962445783748679E-2</c:v>
                </c:pt>
                <c:pt idx="10">
                  <c:v>3.7892024131754305E-2</c:v>
                </c:pt>
                <c:pt idx="11">
                  <c:v>3.6365364862786673E-2</c:v>
                </c:pt>
                <c:pt idx="12">
                  <c:v>3.5071362467420826E-2</c:v>
                </c:pt>
                <c:pt idx="13">
                  <c:v>3.4036562751757038E-2</c:v>
                </c:pt>
                <c:pt idx="14">
                  <c:v>3.3285149503988157E-2</c:v>
                </c:pt>
                <c:pt idx="15">
                  <c:v>3.283658304341143E-2</c:v>
                </c:pt>
                <c:pt idx="16">
                  <c:v>3.2703327496545857E-2</c:v>
                </c:pt>
                <c:pt idx="17">
                  <c:v>3.2889215673853882E-2</c:v>
                </c:pt>
                <c:pt idx="18">
                  <c:v>3.3388917635222705E-2</c:v>
                </c:pt>
                <c:pt idx="19">
                  <c:v>3.4188676034288913E-2</c:v>
                </c:pt>
                <c:pt idx="20">
                  <c:v>3.5268084042359073E-2</c:v>
                </c:pt>
                <c:pt idx="21">
                  <c:v>3.6602409346595075E-2</c:v>
                </c:pt>
                <c:pt idx="22">
                  <c:v>3.8164923985879812E-2</c:v>
                </c:pt>
                <c:pt idx="23">
                  <c:v>3.9928848100536582E-2</c:v>
                </c:pt>
                <c:pt idx="24">
                  <c:v>4.1868733362008095E-2</c:v>
                </c:pt>
                <c:pt idx="25">
                  <c:v>4.3961291961879388E-2</c:v>
                </c:pt>
                <c:pt idx="26">
                  <c:v>4.6185776852746982E-2</c:v>
                </c:pt>
                <c:pt idx="27">
                  <c:v>4.8524047759243481E-2</c:v>
                </c:pt>
                <c:pt idx="28">
                  <c:v>5.0960444202404795E-2</c:v>
                </c:pt>
                <c:pt idx="29">
                  <c:v>5.3481557293958343E-2</c:v>
                </c:pt>
                <c:pt idx="30">
                  <c:v>5.6075961897973273E-2</c:v>
                </c:pt>
                <c:pt idx="31">
                  <c:v>6.0670993826926027E-2</c:v>
                </c:pt>
                <c:pt idx="32">
                  <c:v>5.7954319442485858E-2</c:v>
                </c:pt>
                <c:pt idx="33">
                  <c:v>5.5293428425554875E-2</c:v>
                </c:pt>
                <c:pt idx="34">
                  <c:v>5.2696771694077146E-2</c:v>
                </c:pt>
                <c:pt idx="35">
                  <c:v>5.0174323132643125E-2</c:v>
                </c:pt>
                <c:pt idx="36">
                  <c:v>4.7737847580044381E-2</c:v>
                </c:pt>
                <c:pt idx="37">
                  <c:v>4.5401188489374134E-2</c:v>
                </c:pt>
                <c:pt idx="38">
                  <c:v>4.3180553213631637E-2</c:v>
                </c:pt>
                <c:pt idx="39">
                  <c:v>4.1094754778904993E-2</c:v>
                </c:pt>
                <c:pt idx="40">
                  <c:v>3.9165341818460639E-2</c:v>
                </c:pt>
                <c:pt idx="41">
                  <c:v>3.7416514590363104E-2</c:v>
                </c:pt>
                <c:pt idx="42">
                  <c:v>3.5874692519104801E-2</c:v>
                </c:pt>
                <c:pt idx="43">
                  <c:v>3.4567585936903934E-2</c:v>
                </c:pt>
                <c:pt idx="44">
                  <c:v>3.3522661985373861E-2</c:v>
                </c:pt>
                <c:pt idx="45">
                  <c:v>3.2765014429746372E-2</c:v>
                </c:pt>
                <c:pt idx="46">
                  <c:v>3.2314855863717087E-2</c:v>
                </c:pt>
                <c:pt idx="47">
                  <c:v>3.2185091009962967E-2</c:v>
                </c:pt>
                <c:pt idx="48">
                  <c:v>3.237957214142665E-2</c:v>
                </c:pt>
                <c:pt idx="49">
                  <c:v>3.2892548331188522E-2</c:v>
                </c:pt>
                <c:pt idx="50">
                  <c:v>3.3709482557475703E-2</c:v>
                </c:pt>
                <c:pt idx="51">
                  <c:v>3.4808980562225762E-2</c:v>
                </c:pt>
                <c:pt idx="52">
                  <c:v>3.6165279982125521E-2</c:v>
                </c:pt>
                <c:pt idx="53">
                  <c:v>3.7750712039710095E-2</c:v>
                </c:pt>
                <c:pt idx="54">
                  <c:v>3.953772221233999E-2</c:v>
                </c:pt>
                <c:pt idx="55">
                  <c:v>4.1500278684494143E-2</c:v>
                </c:pt>
                <c:pt idx="56">
                  <c:v>4.3614690403081642E-2</c:v>
                </c:pt>
                <c:pt idx="57">
                  <c:v>4.5859957936506109E-2</c:v>
                </c:pt>
                <c:pt idx="58">
                  <c:v>4.8217804801079692E-2</c:v>
                </c:pt>
                <c:pt idx="59">
                  <c:v>5.0672518120253349E-2</c:v>
                </c:pt>
                <c:pt idx="60">
                  <c:v>5.321069366560871E-2</c:v>
                </c:pt>
                <c:pt idx="61">
                  <c:v>5.5820947528849439E-2</c:v>
                </c:pt>
                <c:pt idx="62">
                  <c:v>6.035185884636686E-2</c:v>
                </c:pt>
                <c:pt idx="63">
                  <c:v>5.7623296042086145E-2</c:v>
                </c:pt>
                <c:pt idx="64">
                  <c:v>5.4949686643432964E-2</c:v>
                </c:pt>
                <c:pt idx="65">
                  <c:v>5.233945273485878E-2</c:v>
                </c:pt>
                <c:pt idx="66">
                  <c:v>4.9802560153801564E-2</c:v>
                </c:pt>
                <c:pt idx="67">
                  <c:v>4.7350798494608271E-2</c:v>
                </c:pt>
                <c:pt idx="68">
                  <c:v>4.4998085217000466E-2</c:v>
                </c:pt>
                <c:pt idx="69">
                  <c:v>4.2760772481695665E-2</c:v>
                </c:pt>
                <c:pt idx="70">
                  <c:v>4.0657915443142352E-2</c:v>
                </c:pt>
                <c:pt idx="71">
                  <c:v>3.8711431748871677E-2</c:v>
                </c:pt>
                <c:pt idx="72">
                  <c:v>3.6946045022828271E-2</c:v>
                </c:pt>
                <c:pt idx="73">
                  <c:v>3.5388867918112653E-2</c:v>
                </c:pt>
                <c:pt idx="74">
                  <c:v>3.4068462500351532E-2</c:v>
                </c:pt>
                <c:pt idx="75">
                  <c:v>3.301325092543235E-2</c:v>
                </c:pt>
                <c:pt idx="76">
                  <c:v>3.2249275512927868E-2</c:v>
                </c:pt>
                <c:pt idx="77">
                  <c:v>3.1797535131946338E-2</c:v>
                </c:pt>
                <c:pt idx="78">
                  <c:v>3.1671393160728818E-2</c:v>
                </c:pt>
                <c:pt idx="79">
                  <c:v>3.1874715432941902E-2</c:v>
                </c:pt>
                <c:pt idx="80">
                  <c:v>3.2401300252243817E-2</c:v>
                </c:pt>
                <c:pt idx="81">
                  <c:v>3.3235785940106059E-2</c:v>
                </c:pt>
                <c:pt idx="82">
                  <c:v>3.4355743493519601E-2</c:v>
                </c:pt>
                <c:pt idx="83">
                  <c:v>3.5734341883459149E-2</c:v>
                </c:pt>
                <c:pt idx="84">
                  <c:v>3.7342947173607449E-2</c:v>
                </c:pt>
                <c:pt idx="85">
                  <c:v>3.9153220203365105E-2</c:v>
                </c:pt>
                <c:pt idx="86">
                  <c:v>4.1138546837376548E-2</c:v>
                </c:pt>
                <c:pt idx="87">
                  <c:v>4.3274840894038151E-2</c:v>
                </c:pt>
                <c:pt idx="88">
                  <c:v>4.5540861957511024E-2</c:v>
                </c:pt>
                <c:pt idx="89">
                  <c:v>4.7918209442520905E-2</c:v>
                </c:pt>
                <c:pt idx="90">
                  <c:v>5.0391129372509509E-2</c:v>
                </c:pt>
                <c:pt idx="91">
                  <c:v>5.2946231949140138E-2</c:v>
                </c:pt>
                <c:pt idx="92">
                  <c:v>5.5572182525997396E-2</c:v>
                </c:pt>
                <c:pt idx="93">
                  <c:v>6.0037895099056229E-2</c:v>
                </c:pt>
                <c:pt idx="94">
                  <c:v>5.7297556308403767E-2</c:v>
                </c:pt>
                <c:pt idx="95">
                  <c:v>5.4611331285911592E-2</c:v>
                </c:pt>
                <c:pt idx="96">
                  <c:v>5.1987608962520464E-2</c:v>
                </c:pt>
                <c:pt idx="97">
                  <c:v>4.9436341909325728E-2</c:v>
                </c:pt>
                <c:pt idx="98">
                  <c:v>4.6969338424412997E-2</c:v>
                </c:pt>
                <c:pt idx="99">
                  <c:v>4.4600583377280942E-2</c:v>
                </c:pt>
                <c:pt idx="100">
                  <c:v>4.2346567252564929E-2</c:v>
                </c:pt>
                <c:pt idx="101">
                  <c:v>4.0226582174896323E-2</c:v>
                </c:pt>
                <c:pt idx="102">
                  <c:v>3.8262912902533107E-2</c:v>
                </c:pt>
                <c:pt idx="103">
                  <c:v>3.6480810421582577E-2</c:v>
                </c:pt>
                <c:pt idx="104">
                  <c:v>3.4908093462111732E-2</c:v>
                </c:pt>
                <c:pt idx="105">
                  <c:v>3.3574199680991262E-2</c:v>
                </c:pt>
                <c:pt idx="106">
                  <c:v>3.2508540634640697E-2</c:v>
                </c:pt>
                <c:pt idx="107">
                  <c:v>3.1738147064448566E-2</c:v>
                </c:pt>
                <c:pt idx="108">
                  <c:v>3.1284839441661008E-2</c:v>
                </c:pt>
                <c:pt idx="109">
                  <c:v>3.1162458401286588E-2</c:v>
                </c:pt>
                <c:pt idx="110">
                  <c:v>3.1374876625236185E-2</c:v>
                </c:pt>
                <c:pt idx="111">
                  <c:v>3.1915409879886128E-2</c:v>
                </c:pt>
                <c:pt idx="112">
                  <c:v>3.2767824573336261E-2</c:v>
                </c:pt>
                <c:pt idx="113">
                  <c:v>3.3908608076006493E-2</c:v>
                </c:pt>
                <c:pt idx="114">
                  <c:v>3.5309821734907577E-2</c:v>
                </c:pt>
                <c:pt idx="115">
                  <c:v>3.6941842877219279E-2</c:v>
                </c:pt>
                <c:pt idx="116">
                  <c:v>3.8775539123200184E-2</c:v>
                </c:pt>
                <c:pt idx="117">
                  <c:v>4.0783716705812434E-2</c:v>
                </c:pt>
                <c:pt idx="118">
                  <c:v>4.294190374564881E-2</c:v>
                </c:pt>
                <c:pt idx="119">
                  <c:v>4.5228631210513508E-2</c:v>
                </c:pt>
                <c:pt idx="120">
                  <c:v>4.7625387137199965E-2</c:v>
                </c:pt>
                <c:pt idx="121">
                  <c:v>5.0116388074911908E-2</c:v>
                </c:pt>
                <c:pt idx="122">
                  <c:v>5.268826854526195E-2</c:v>
                </c:pt>
                <c:pt idx="123">
                  <c:v>5.5329751181760908E-2</c:v>
                </c:pt>
                <c:pt idx="124">
                  <c:v>5.9729184132108863E-2</c:v>
                </c:pt>
                <c:pt idx="125">
                  <c:v>5.6977190861994029E-2</c:v>
                </c:pt>
                <c:pt idx="126">
                  <c:v>5.4278463085060652E-2</c:v>
                </c:pt>
                <c:pt idx="127">
                  <c:v>5.1641352288102932E-2</c:v>
                </c:pt>
                <c:pt idx="128">
                  <c:v>4.9075792528772089E-2</c:v>
                </c:pt>
                <c:pt idx="129">
                  <c:v>4.6593604640826805E-2</c:v>
                </c:pt>
                <c:pt idx="130">
                  <c:v>4.4208834065599792E-2</c:v>
                </c:pt>
                <c:pt idx="131">
                  <c:v>4.1938102727344051E-2</c:v>
                </c:pt>
                <c:pt idx="132">
                  <c:v>3.9800933986707594E-2</c:v>
                </c:pt>
                <c:pt idx="133">
                  <c:v>3.7819977088500642E-2</c:v>
                </c:pt>
                <c:pt idx="134">
                  <c:v>3.6021013626085507E-2</c:v>
                </c:pt>
                <c:pt idx="135">
                  <c:v>3.443258069390135E-2</c:v>
                </c:pt>
                <c:pt idx="136">
                  <c:v>3.3085015320366472E-2</c:v>
                </c:pt>
                <c:pt idx="137">
                  <c:v>3.2008753477310026E-2</c:v>
                </c:pt>
                <c:pt idx="138">
                  <c:v>3.1231855444545664E-2</c:v>
                </c:pt>
                <c:pt idx="139">
                  <c:v>3.0776999931153948E-2</c:v>
                </c:pt>
                <c:pt idx="140">
                  <c:v>3.0658523935945932E-2</c:v>
                </c:pt>
                <c:pt idx="141">
                  <c:v>3.0880299383509134E-2</c:v>
                </c:pt>
                <c:pt idx="142">
                  <c:v>3.1435125656100148E-2</c:v>
                </c:pt>
                <c:pt idx="143">
                  <c:v>3.2305847689387802E-2</c:v>
                </c:pt>
                <c:pt idx="144">
                  <c:v>3.346781886769E-2</c:v>
                </c:pt>
                <c:pt idx="145">
                  <c:v>3.4891953793196449E-2</c:v>
                </c:pt>
                <c:pt idx="146">
                  <c:v>3.6547618447281507E-2</c:v>
                </c:pt>
                <c:pt idx="147">
                  <c:v>3.840488020740402E-2</c:v>
                </c:pt>
                <c:pt idx="148">
                  <c:v>4.0435969980173597E-2</c:v>
                </c:pt>
                <c:pt idx="149">
                  <c:v>4.2616040966347565E-2</c:v>
                </c:pt>
                <c:pt idx="150">
                  <c:v>4.4923408841814234E-2</c:v>
                </c:pt>
                <c:pt idx="151">
                  <c:v>4.7339463571185916E-2</c:v>
                </c:pt>
                <c:pt idx="152">
                  <c:v>4.9848404140573552E-2</c:v>
                </c:pt>
                <c:pt idx="153">
                  <c:v>5.2436899359437031E-2</c:v>
                </c:pt>
                <c:pt idx="154">
                  <c:v>5.5093737107015817E-2</c:v>
                </c:pt>
                <c:pt idx="155">
                  <c:v>5.9425807808544319E-2</c:v>
                </c:pt>
                <c:pt idx="156">
                  <c:v>5.6662290860695769E-2</c:v>
                </c:pt>
                <c:pt idx="157">
                  <c:v>5.3951183605010875E-2</c:v>
                </c:pt>
                <c:pt idx="158">
                  <c:v>5.130079584272125E-2</c:v>
                </c:pt>
                <c:pt idx="159">
                  <c:v>4.8721037865864528E-2</c:v>
                </c:pt>
                <c:pt idx="160">
                  <c:v>4.6223736783961002E-2</c:v>
                </c:pt>
                <c:pt idx="161">
                  <c:v>4.3822991553912422E-2</c:v>
                </c:pt>
                <c:pt idx="162">
                  <c:v>4.1535548270260216E-2</c:v>
                </c:pt>
                <c:pt idx="163">
                  <c:v>3.9381155219259625E-2</c:v>
                </c:pt>
                <c:pt idx="164">
                  <c:v>3.7382822761412603E-2</c:v>
                </c:pt>
                <c:pt idx="165">
                  <c:v>3.5566865531480599E-2</c:v>
                </c:pt>
                <c:pt idx="166">
                  <c:v>3.3962550622312265E-2</c:v>
                </c:pt>
                <c:pt idx="167">
                  <c:v>3.2601138028100954E-2</c:v>
                </c:pt>
                <c:pt idx="168">
                  <c:v>3.1514123684420019E-2</c:v>
                </c:pt>
                <c:pt idx="169">
                  <c:v>3.0730639716446247E-2</c:v>
                </c:pt>
                <c:pt idx="170">
                  <c:v>3.02742609832608E-2</c:v>
                </c:pt>
                <c:pt idx="171">
                  <c:v>3.0159840412353263E-2</c:v>
                </c:pt>
                <c:pt idx="172">
                  <c:v>3.0391240583926692E-2</c:v>
                </c:pt>
                <c:pt idx="173">
                  <c:v>3.0960708481510474E-2</c:v>
                </c:pt>
                <c:pt idx="174">
                  <c:v>3.1850115698997115E-2</c:v>
                </c:pt>
                <c:pt idx="175">
                  <c:v>3.303362991433724E-2</c:v>
                </c:pt>
                <c:pt idx="176">
                  <c:v>3.448097990937548E-2</c:v>
                </c:pt>
                <c:pt idx="177">
                  <c:v>3.616049889893088E-2</c:v>
                </c:pt>
                <c:pt idx="178">
                  <c:v>3.8041448719046876E-2</c:v>
                </c:pt>
                <c:pt idx="179">
                  <c:v>4.009549096324462E-2</c:v>
                </c:pt>
                <c:pt idx="180">
                  <c:v>4.2297416061017896E-2</c:v>
                </c:pt>
                <c:pt idx="181">
                  <c:v>4.4625338656525008E-2</c:v>
                </c:pt>
                <c:pt idx="182">
                  <c:v>4.7060564487644015E-2</c:v>
                </c:pt>
                <c:pt idx="183">
                  <c:v>4.958728712580799E-2</c:v>
                </c:pt>
                <c:pt idx="184">
                  <c:v>5.2192219669356957E-2</c:v>
                </c:pt>
                <c:pt idx="185">
                  <c:v>5.486422311895945E-2</c:v>
                </c:pt>
                <c:pt idx="186">
                  <c:v>5.9127848242239656E-2</c:v>
                </c:pt>
                <c:pt idx="187">
                  <c:v>5.6352947927226255E-2</c:v>
                </c:pt>
                <c:pt idx="188">
                  <c:v>5.3629595162890155E-2</c:v>
                </c:pt>
                <c:pt idx="189">
                  <c:v>5.0966053893721983E-2</c:v>
                </c:pt>
                <c:pt idx="190">
                  <c:v>4.8372205413600093E-2</c:v>
                </c:pt>
                <c:pt idx="191">
                  <c:v>4.5859876783183116E-2</c:v>
                </c:pt>
                <c:pt idx="192">
                  <c:v>4.344321322689447E-2</c:v>
                </c:pt>
                <c:pt idx="193">
                  <c:v>4.1139077375429378E-2</c:v>
                </c:pt>
                <c:pt idx="194">
                  <c:v>3.8967435558953309E-2</c:v>
                </c:pt>
                <c:pt idx="195">
                  <c:v>3.695165511443646E-2</c:v>
                </c:pt>
                <c:pt idx="196">
                  <c:v>3.5118585282821448E-2</c:v>
                </c:pt>
                <c:pt idx="197">
                  <c:v>3.3498234039316378E-2</c:v>
                </c:pt>
                <c:pt idx="198">
                  <c:v>3.2122807631872578E-2</c:v>
                </c:pt>
                <c:pt idx="199">
                  <c:v>3.1024897928457949E-2</c:v>
                </c:pt>
                <c:pt idx="200">
                  <c:v>3.023475231755083E-2</c:v>
                </c:pt>
                <c:pt idx="201">
                  <c:v>2.9776880945651778E-2</c:v>
                </c:pt>
                <c:pt idx="202">
                  <c:v>2.9666672629650601E-2</c:v>
                </c:pt>
                <c:pt idx="203">
                  <c:v>2.9907970942437169E-2</c:v>
                </c:pt>
                <c:pt idx="204">
                  <c:v>3.0492432205187211E-2</c:v>
                </c:pt>
                <c:pt idx="205">
                  <c:v>3.140090050615868E-2</c:v>
                </c:pt>
                <c:pt idx="206">
                  <c:v>3.2606304886062767E-2</c:v>
                </c:pt>
                <c:pt idx="207">
                  <c:v>3.4077149513472377E-2</c:v>
                </c:pt>
                <c:pt idx="208">
                  <c:v>3.5780714840814555E-2</c:v>
                </c:pt>
                <c:pt idx="209">
                  <c:v>3.7685453758596159E-2</c:v>
                </c:pt>
                <c:pt idx="210">
                  <c:v>3.9762466351804152E-2</c:v>
                </c:pt>
                <c:pt idx="211">
                  <c:v>4.198619381035737E-2</c:v>
                </c:pt>
                <c:pt idx="212">
                  <c:v>4.4334564911577654E-2</c:v>
                </c:pt>
                <c:pt idx="213">
                  <c:v>4.6788815501488799E-2</c:v>
                </c:pt>
                <c:pt idx="214">
                  <c:v>4.9333146069162163E-2</c:v>
                </c:pt>
                <c:pt idx="215">
                  <c:v>5.1954323987957823E-2</c:v>
                </c:pt>
                <c:pt idx="216">
                  <c:v>5.4641291126084804E-2</c:v>
                </c:pt>
                <c:pt idx="217">
                  <c:v>5.8835387729369082E-2</c:v>
                </c:pt>
                <c:pt idx="218">
                  <c:v>5.6049254072144936E-2</c:v>
                </c:pt>
                <c:pt idx="219">
                  <c:v>5.3313800743690964E-2</c:v>
                </c:pt>
                <c:pt idx="220">
                  <c:v>5.0637241752958626E-2</c:v>
                </c:pt>
                <c:pt idx="221">
                  <c:v>4.8029424209255683E-2</c:v>
                </c:pt>
                <c:pt idx="222">
                  <c:v>4.5502168764940884E-2</c:v>
                </c:pt>
                <c:pt idx="223">
                  <c:v>4.3069659502591298E-2</c:v>
                </c:pt>
                <c:pt idx="224">
                  <c:v>4.0748867615439451E-2</c:v>
                </c:pt>
                <c:pt idx="225">
                  <c:v>3.8559970035355752E-2</c:v>
                </c:pt>
                <c:pt idx="226">
                  <c:v>3.6526686151770231E-2</c:v>
                </c:pt>
                <c:pt idx="227">
                  <c:v>3.4676400451139379E-2</c:v>
                </c:pt>
                <c:pt idx="228">
                  <c:v>3.3039871824525904E-2</c:v>
                </c:pt>
                <c:pt idx="229">
                  <c:v>3.1650275623284665E-2</c:v>
                </c:pt>
                <c:pt idx="230">
                  <c:v>3.0541335903888377E-2</c:v>
                </c:pt>
                <c:pt idx="231">
                  <c:v>2.9744459744192073E-2</c:v>
                </c:pt>
                <c:pt idx="232">
                  <c:v>2.9285132867532759E-2</c:v>
                </c:pt>
                <c:pt idx="233">
                  <c:v>2.917930025856854E-2</c:v>
                </c:pt>
                <c:pt idx="234">
                  <c:v>2.9430775643971986E-2</c:v>
                </c:pt>
                <c:pt idx="235">
                  <c:v>3.0030584099337752E-2</c:v>
                </c:pt>
                <c:pt idx="236">
                  <c:v>3.0958485793146376E-2</c:v>
                </c:pt>
                <c:pt idx="237">
                  <c:v>3.2186117174598121E-2</c:v>
                </c:pt>
                <c:pt idx="238">
                  <c:v>3.3680719556816785E-2</c:v>
                </c:pt>
                <c:pt idx="239">
                  <c:v>3.5408502310439328E-2</c:v>
                </c:pt>
                <c:pt idx="240">
                  <c:v>3.733710803995538E-2</c:v>
                </c:pt>
                <c:pt idx="241">
                  <c:v>3.9437084991435147E-2</c:v>
                </c:pt>
                <c:pt idx="242">
                  <c:v>4.1682540030227574E-2</c:v>
                </c:pt>
                <c:pt idx="243">
                  <c:v>4.405123209442427E-2</c:v>
                </c:pt>
                <c:pt idx="244">
                  <c:v>4.6524341904186153E-2</c:v>
                </c:pt>
                <c:pt idx="245">
                  <c:v>4.9086089323899643E-2</c:v>
                </c:pt>
                <c:pt idx="246">
                  <c:v>5.1723305922239379E-2</c:v>
                </c:pt>
                <c:pt idx="247">
                  <c:v>5.4425022010585702E-2</c:v>
                </c:pt>
                <c:pt idx="248">
                  <c:v>5.8548508676324634E-2</c:v>
                </c:pt>
                <c:pt idx="249">
                  <c:v>5.5751301612138461E-2</c:v>
                </c:pt>
                <c:pt idx="250">
                  <c:v>5.3003903908948741E-2</c:v>
                </c:pt>
                <c:pt idx="251">
                  <c:v>5.0314475676945837E-2</c:v>
                </c:pt>
                <c:pt idx="252">
                  <c:v>4.7692824728866129E-2</c:v>
                </c:pt>
                <c:pt idx="253">
                  <c:v>4.5150758947178064E-2</c:v>
                </c:pt>
                <c:pt idx="254">
                  <c:v>4.2702493736425769E-2</c:v>
                </c:pt>
                <c:pt idx="255">
                  <c:v>4.0365100570025216E-2</c:v>
                </c:pt>
                <c:pt idx="256">
                  <c:v>3.8158958996053399E-2</c:v>
                </c:pt>
                <c:pt idx="257">
                  <c:v>3.6108134737371636E-2</c:v>
                </c:pt>
                <c:pt idx="258">
                  <c:v>3.4240547187177804E-2</c:v>
                </c:pt>
                <c:pt idx="259">
                  <c:v>3.2587715232246371E-2</c:v>
                </c:pt>
                <c:pt idx="260">
                  <c:v>3.118380559447612E-2</c:v>
                </c:pt>
                <c:pt idx="261">
                  <c:v>3.0063710908097226E-2</c:v>
                </c:pt>
                <c:pt idx="262">
                  <c:v>2.9260043244887311E-2</c:v>
                </c:pt>
                <c:pt idx="263">
                  <c:v>2.8799305247439056E-2</c:v>
                </c:pt>
                <c:pt idx="264">
                  <c:v>2.869801856737032E-2</c:v>
                </c:pt>
                <c:pt idx="265">
                  <c:v>2.8959954964857225E-2</c:v>
                </c:pt>
                <c:pt idx="266">
                  <c:v>2.9575465310886517E-2</c:v>
                </c:pt>
                <c:pt idx="267">
                  <c:v>3.0523167267828066E-2</c:v>
                </c:pt>
                <c:pt idx="268">
                  <c:v>3.1773349944247867E-2</c:v>
                </c:pt>
                <c:pt idx="269">
                  <c:v>3.3291954406656978E-2</c:v>
                </c:pt>
                <c:pt idx="270">
                  <c:v>3.5044102566133488E-2</c:v>
                </c:pt>
                <c:pt idx="271">
                  <c:v>3.6996627630527447E-2</c:v>
                </c:pt>
                <c:pt idx="272">
                  <c:v>3.9119537603524865E-2</c:v>
                </c:pt>
                <c:pt idx="273">
                  <c:v>4.1386621310645202E-2</c:v>
                </c:pt>
                <c:pt idx="274">
                  <c:v>4.3775484687475164E-2</c:v>
                </c:pt>
                <c:pt idx="275">
                  <c:v>4.6267268458938221E-2</c:v>
                </c:pt>
                <c:pt idx="276">
                  <c:v>4.884622438423479E-2</c:v>
                </c:pt>
                <c:pt idx="277">
                  <c:v>5.1499258028189422E-2</c:v>
                </c:pt>
                <c:pt idx="278">
                  <c:v>5.4215495508466188E-2</c:v>
                </c:pt>
                <c:pt idx="279">
                  <c:v>5.826729352412658E-2</c:v>
                </c:pt>
                <c:pt idx="280">
                  <c:v>5.5459183083597666E-2</c:v>
                </c:pt>
                <c:pt idx="281">
                  <c:v>5.270000869913357E-2</c:v>
                </c:pt>
                <c:pt idx="282">
                  <c:v>4.9997872758678119E-2</c:v>
                </c:pt>
                <c:pt idx="283">
                  <c:v>4.7362538770769541E-2</c:v>
                </c:pt>
                <c:pt idx="284">
                  <c:v>4.4805795519640021E-2</c:v>
                </c:pt>
                <c:pt idx="285">
                  <c:v>4.2341882107417073E-2</c:v>
                </c:pt>
                <c:pt idx="286">
                  <c:v>3.9987961733057673E-2</c:v>
                </c:pt>
                <c:pt idx="287">
                  <c:v>3.7764608056300941E-2</c:v>
                </c:pt>
                <c:pt idx="288">
                  <c:v>3.5696226616311146E-2</c:v>
                </c:pt>
                <c:pt idx="289">
                  <c:v>3.3811270348147474E-2</c:v>
                </c:pt>
                <c:pt idx="290">
                  <c:v>3.2142026155540647E-2</c:v>
                </c:pt>
                <c:pt idx="291">
                  <c:v>3.0723673659360257E-2</c:v>
                </c:pt>
                <c:pt idx="292">
                  <c:v>2.9592310416487282E-2</c:v>
                </c:pt>
                <c:pt idx="293">
                  <c:v>2.8781799515667603E-2</c:v>
                </c:pt>
                <c:pt idx="294">
                  <c:v>2.8319702785338147E-2</c:v>
                </c:pt>
                <c:pt idx="295">
                  <c:v>2.8223139146012099E-2</c:v>
                </c:pt>
                <c:pt idx="296">
                  <c:v>2.8495824879724015E-2</c:v>
                </c:pt>
                <c:pt idx="297">
                  <c:v>2.9127391280581606E-2</c:v>
                </c:pt>
                <c:pt idx="298">
                  <c:v>3.009525286426035E-2</c:v>
                </c:pt>
                <c:pt idx="299">
                  <c:v>3.1368296128908665E-2</c:v>
                </c:pt>
                <c:pt idx="300">
                  <c:v>3.2911125687425338E-2</c:v>
                </c:pt>
                <c:pt idx="301">
                  <c:v>3.4687761831971455E-2</c:v>
                </c:pt>
                <c:pt idx="302">
                  <c:v>3.666423165327632E-2</c:v>
                </c:pt>
                <c:pt idx="303">
                  <c:v>3.8810016483558835E-2</c:v>
                </c:pt>
                <c:pt idx="304">
                  <c:v>4.1098604734206901E-2</c:v>
                </c:pt>
                <c:pt idx="305">
                  <c:v>4.3507466918432582E-2</c:v>
                </c:pt>
                <c:pt idx="306">
                  <c:v>4.6017719186568801E-2</c:v>
                </c:pt>
                <c:pt idx="307">
                  <c:v>4.8613657705677389E-2</c:v>
                </c:pt>
                <c:pt idx="308">
                  <c:v>5.1282271662155307E-2</c:v>
                </c:pt>
                <c:pt idx="309">
                  <c:v>5.4012790087653237E-2</c:v>
                </c:pt>
                <c:pt idx="310">
                  <c:v>5.7991824669347838E-2</c:v>
                </c:pt>
                <c:pt idx="311">
                  <c:v>5.5172991151477127E-2</c:v>
                </c:pt>
                <c:pt idx="312">
                  <c:v>5.2402219529682444E-2</c:v>
                </c:pt>
                <c:pt idx="313">
                  <c:v>4.9687550810928044E-2</c:v>
                </c:pt>
                <c:pt idx="314">
                  <c:v>4.703869932784651E-2</c:v>
                </c:pt>
                <c:pt idx="315">
                  <c:v>4.4467428509393309E-2</c:v>
                </c:pt>
                <c:pt idx="316">
                  <c:v>4.1987993485470658E-2</c:v>
                </c:pt>
                <c:pt idx="317">
                  <c:v>3.9617640396032119E-2</c:v>
                </c:pt>
                <c:pt idx="318">
                  <c:v>3.7377128020731752E-2</c:v>
                </c:pt>
                <c:pt idx="319">
                  <c:v>3.5291194404872321E-2</c:v>
                </c:pt>
                <c:pt idx="320">
                  <c:v>3.3388823592368125E-2</c:v>
                </c:pt>
                <c:pt idx="321">
                  <c:v>3.1703077360999692E-2</c:v>
                </c:pt>
                <c:pt idx="322">
                  <c:v>3.0270168852324725E-2</c:v>
                </c:pt>
                <c:pt idx="323">
                  <c:v>2.9127436644072108E-2</c:v>
                </c:pt>
                <c:pt idx="324">
                  <c:v>2.8310041389515615E-2</c:v>
                </c:pt>
                <c:pt idx="325">
                  <c:v>2.7846647130547037E-2</c:v>
                </c:pt>
                <c:pt idx="326">
                  <c:v>2.7754990619090196E-2</c:v>
                </c:pt>
                <c:pt idx="327">
                  <c:v>2.8038717642464187E-2</c:v>
                </c:pt>
                <c:pt idx="328">
                  <c:v>2.8686692118774285E-2</c:v>
                </c:pt>
                <c:pt idx="329">
                  <c:v>2.9675062886476363E-2</c:v>
                </c:pt>
                <c:pt idx="330">
                  <c:v>3.0971258366924208E-2</c:v>
                </c:pt>
                <c:pt idx="331">
                  <c:v>3.2538512062795441E-2</c:v>
                </c:pt>
                <c:pt idx="332">
                  <c:v>3.4339730992045674E-2</c:v>
                </c:pt>
                <c:pt idx="333">
                  <c:v>3.63401419489097E-2</c:v>
                </c:pt>
                <c:pt idx="334">
                  <c:v>3.8508715169987377E-2</c:v>
                </c:pt>
                <c:pt idx="335">
                  <c:v>4.0818657573896182E-2</c:v>
                </c:pt>
                <c:pt idx="336">
                  <c:v>4.3247322496800127E-2</c:v>
                </c:pt>
                <c:pt idx="337">
                  <c:v>4.5775817142514691E-2</c:v>
                </c:pt>
                <c:pt idx="338">
                  <c:v>4.8388494519907482E-2</c:v>
                </c:pt>
                <c:pt idx="339">
                  <c:v>5.1072436829044665E-2</c:v>
                </c:pt>
                <c:pt idx="340">
                  <c:v>5.3816982824438073E-2</c:v>
                </c:pt>
                <c:pt idx="341">
                  <c:v>5.7722184381593128E-2</c:v>
                </c:pt>
                <c:pt idx="342">
                  <c:v>5.48928185134498E-2</c:v>
                </c:pt>
                <c:pt idx="343">
                  <c:v>5.2110641080626761E-2</c:v>
                </c:pt>
                <c:pt idx="344">
                  <c:v>4.9383628240872911E-2</c:v>
                </c:pt>
                <c:pt idx="345">
                  <c:v>4.672144044811806E-2</c:v>
                </c:pt>
                <c:pt idx="346">
                  <c:v>4.4135809630919981E-2</c:v>
                </c:pt>
                <c:pt idx="347">
                  <c:v>4.1640999278620139E-2</c:v>
                </c:pt>
                <c:pt idx="348">
                  <c:v>3.9254329506218058E-2</c:v>
                </c:pt>
                <c:pt idx="349">
                  <c:v>3.6996734774286597E-2</c:v>
                </c:pt>
                <c:pt idx="350">
                  <c:v>3.4893277545259893E-2</c:v>
                </c:pt>
                <c:pt idx="351">
                  <c:v>3.2973469436163909E-2</c:v>
                </c:pt>
                <c:pt idx="352">
                  <c:v>3.1271152687104425E-2</c:v>
                </c:pt>
                <c:pt idx="353">
                  <c:v>2.9823593496059925E-2</c:v>
                </c:pt>
                <c:pt idx="354">
                  <c:v>2.8669407084411826E-2</c:v>
                </c:pt>
                <c:pt idx="355">
                  <c:v>2.7845098510163077E-2</c:v>
                </c:pt>
                <c:pt idx="356">
                  <c:v>2.7380477614992627E-2</c:v>
                </c:pt>
                <c:pt idx="357">
                  <c:v>2.7293919336090308E-2</c:v>
                </c:pt>
                <c:pt idx="358">
                  <c:v>2.7588982328827619E-2</c:v>
                </c:pt>
                <c:pt idx="359">
                  <c:v>2.8253712925404819E-2</c:v>
                </c:pt>
                <c:pt idx="360">
                  <c:v>2.9262930084280308E-2</c:v>
                </c:pt>
                <c:pt idx="361">
                  <c:v>3.0582548864985629E-2</c:v>
                </c:pt>
                <c:pt idx="362">
                  <c:v>3.2174398952528334E-2</c:v>
                </c:pt>
                <c:pt idx="363">
                  <c:v>3.4000265230570551E-2</c:v>
                </c:pt>
                <c:pt idx="364">
                  <c:v>3.6024582696504603E-2</c:v>
                </c:pt>
                <c:pt idx="365">
                  <c:v>3.8215828083150563E-2</c:v>
                </c:pt>
                <c:pt idx="366">
                  <c:v>4.0546946970394772E-2</c:v>
                </c:pt>
                <c:pt idx="367">
                  <c:v>4.2995194336978619E-2</c:v>
                </c:pt>
                <c:pt idx="368">
                  <c:v>4.5541684185420463E-2</c:v>
                </c:pt>
                <c:pt idx="369">
                  <c:v>4.8170838644661991E-2</c:v>
                </c:pt>
                <c:pt idx="370">
                  <c:v>5.0869842027777237E-2</c:v>
                </c:pt>
                <c:pt idx="371">
                  <c:v>5.3628149278596479E-2</c:v>
                </c:pt>
                <c:pt idx="372">
                  <c:v>5.7458454717591229E-2</c:v>
                </c:pt>
                <c:pt idx="373">
                  <c:v>5.4618757799392466E-2</c:v>
                </c:pt>
                <c:pt idx="374">
                  <c:v>5.1825378179800818E-2</c:v>
                </c:pt>
                <c:pt idx="375">
                  <c:v>4.9086223915937151E-2</c:v>
                </c:pt>
                <c:pt idx="376">
                  <c:v>4.6410897083412769E-2</c:v>
                </c:pt>
                <c:pt idx="377">
                  <c:v>4.3811092120194968E-2</c:v>
                </c:pt>
                <c:pt idx="378">
                  <c:v>4.1301073259138836E-2</c:v>
                </c:pt>
                <c:pt idx="379">
                  <c:v>3.8898225497633727E-2</c:v>
                </c:pt>
                <c:pt idx="380">
                  <c:v>3.6623649139432279E-2</c:v>
                </c:pt>
                <c:pt idx="381">
                  <c:v>3.4502722220531815E-2</c:v>
                </c:pt>
                <c:pt idx="382">
                  <c:v>3.256547926687995E-2</c:v>
                </c:pt>
                <c:pt idx="383">
                  <c:v>3.084654719821104E-2</c:v>
                </c:pt>
                <c:pt idx="384">
                  <c:v>2.9384263528916307E-2</c:v>
                </c:pt>
                <c:pt idx="385">
                  <c:v>2.82185550150536E-2</c:v>
                </c:pt>
                <c:pt idx="386">
                  <c:v>2.7387317978470986E-2</c:v>
                </c:pt>
                <c:pt idx="387">
                  <c:v>2.6921551959083207E-2</c:v>
                </c:pt>
                <c:pt idx="388">
                  <c:v>2.6840290025124901E-2</c:v>
                </c:pt>
                <c:pt idx="389">
                  <c:v>2.7146985326099986E-2</c:v>
                </c:pt>
                <c:pt idx="390">
                  <c:v>2.7828814040012969E-2</c:v>
                </c:pt>
                <c:pt idx="391">
                  <c:v>2.8859199648764062E-2</c:v>
                </c:pt>
                <c:pt idx="392">
                  <c:v>3.0202489181792459E-2</c:v>
                </c:pt>
                <c:pt idx="393">
                  <c:v>3.1819078178049458E-2</c:v>
                </c:pt>
                <c:pt idx="394">
                  <c:v>3.3669623614481073E-2</c:v>
                </c:pt>
                <c:pt idx="395">
                  <c:v>3.5717779991151284E-2</c:v>
                </c:pt>
                <c:pt idx="396">
                  <c:v>3.7931550133987635E-2</c:v>
                </c:pt>
                <c:pt idx="397">
                  <c:v>4.028363958921307E-2</c:v>
                </c:pt>
                <c:pt idx="398">
                  <c:v>4.2751224268498755E-2</c:v>
                </c:pt>
                <c:pt idx="399">
                  <c:v>4.5315440737929556E-2</c:v>
                </c:pt>
                <c:pt idx="400">
                  <c:v>4.7960792289177219E-2</c:v>
                </c:pt>
                <c:pt idx="401">
                  <c:v>5.0674574094449594E-2</c:v>
                </c:pt>
                <c:pt idx="402">
                  <c:v>5.3446363367563081E-2</c:v>
                </c:pt>
                <c:pt idx="403">
                  <c:v>5.7200717431977417E-2</c:v>
                </c:pt>
                <c:pt idx="404">
                  <c:v>5.4350901466263181E-2</c:v>
                </c:pt>
                <c:pt idx="405">
                  <c:v>5.1546535679650091E-2</c:v>
                </c:pt>
                <c:pt idx="406">
                  <c:v>4.8795457020781093E-2</c:v>
                </c:pt>
                <c:pt idx="407">
                  <c:v>4.6107204925866167E-2</c:v>
                </c:pt>
                <c:pt idx="408">
                  <c:v>4.3493430552213344E-2</c:v>
                </c:pt>
                <c:pt idx="409">
                  <c:v>4.09683913674928E-2</c:v>
                </c:pt>
                <c:pt idx="410">
                  <c:v>3.8549528093030902E-2</c:v>
                </c:pt>
                <c:pt idx="411">
                  <c:v>3.6258096696685074E-2</c:v>
                </c:pt>
                <c:pt idx="412">
                  <c:v>3.4119781225154674E-2</c:v>
                </c:pt>
                <c:pt idx="413">
                  <c:v>3.2165133305399739E-2</c:v>
                </c:pt>
                <c:pt idx="414">
                  <c:v>3.042956728531182E-2</c:v>
                </c:pt>
                <c:pt idx="415">
                  <c:v>2.895250878082881E-2</c:v>
                </c:pt>
                <c:pt idx="416">
                  <c:v>2.7775229956781378E-2</c:v>
                </c:pt>
                <c:pt idx="417">
                  <c:v>2.6937064957334701E-2</c:v>
                </c:pt>
                <c:pt idx="418">
                  <c:v>2.6470246934902526E-2</c:v>
                </c:pt>
                <c:pt idx="419">
                  <c:v>2.6394486393738172E-2</c:v>
                </c:pt>
                <c:pt idx="420">
                  <c:v>2.6713110752946925E-2</c:v>
                </c:pt>
                <c:pt idx="421">
                  <c:v>2.7412371205801478E-2</c:v>
                </c:pt>
                <c:pt idx="422">
                  <c:v>2.8464229114198145E-2</c:v>
                </c:pt>
                <c:pt idx="423">
                  <c:v>2.9831409921791199E-2</c:v>
                </c:pt>
                <c:pt idx="424">
                  <c:v>3.1472847530749193E-2</c:v>
                </c:pt>
                <c:pt idx="425">
                  <c:v>3.3348068615454994E-2</c:v>
                </c:pt>
                <c:pt idx="426">
                  <c:v>3.5419961377503931E-2</c:v>
                </c:pt>
                <c:pt idx="427">
                  <c:v>3.7656076302531982E-2</c:v>
                </c:pt>
                <c:pt idx="428">
                  <c:v>4.002890125816369E-2</c:v>
                </c:pt>
                <c:pt idx="429">
                  <c:v>4.2515552734087698E-2</c:v>
                </c:pt>
                <c:pt idx="430">
                  <c:v>4.5097205540361708E-2</c:v>
                </c:pt>
                <c:pt idx="431">
                  <c:v>4.7758455855793081E-2</c:v>
                </c:pt>
                <c:pt idx="432">
                  <c:v>5.0486718043712332E-2</c:v>
                </c:pt>
                <c:pt idx="433">
                  <c:v>5.327169724005746E-2</c:v>
                </c:pt>
                <c:pt idx="434">
                  <c:v>5.6949053884862433E-2</c:v>
                </c:pt>
                <c:pt idx="435">
                  <c:v>5.4089341688458366E-2</c:v>
                </c:pt>
                <c:pt idx="436">
                  <c:v>5.1274218327694666E-2</c:v>
                </c:pt>
                <c:pt idx="437">
                  <c:v>4.8511446905414667E-2</c:v>
                </c:pt>
                <c:pt idx="438">
                  <c:v>4.5810500232076695E-2</c:v>
                </c:pt>
                <c:pt idx="439">
                  <c:v>4.3182980641507336E-2</c:v>
                </c:pt>
                <c:pt idx="440">
                  <c:v>4.0643131493180502E-2</c:v>
                </c:pt>
                <c:pt idx="441">
                  <c:v>3.8208440075127269E-2</c:v>
                </c:pt>
                <c:pt idx="442">
                  <c:v>3.5900307565433033E-2</c:v>
                </c:pt>
                <c:pt idx="443">
                  <c:v>3.3744713786402918E-2</c:v>
                </c:pt>
                <c:pt idx="444">
                  <c:v>3.1772720511081196E-2</c:v>
                </c:pt>
                <c:pt idx="445">
                  <c:v>3.0020530703832902E-2</c:v>
                </c:pt>
                <c:pt idx="446">
                  <c:v>2.8528673185406549E-2</c:v>
                </c:pt>
                <c:pt idx="447">
                  <c:v>2.7339798071952925E-2</c:v>
                </c:pt>
                <c:pt idx="448">
                  <c:v>2.6494723218521362E-2</c:v>
                </c:pt>
                <c:pt idx="449">
                  <c:v>2.6026958968585111E-2</c:v>
                </c:pt>
                <c:pt idx="450">
                  <c:v>2.5956911657480295E-2</c:v>
                </c:pt>
                <c:pt idx="451">
                  <c:v>2.6287760789986011E-2</c:v>
                </c:pt>
                <c:pt idx="452">
                  <c:v>2.7004775629956297E-2</c:v>
                </c:pt>
                <c:pt idx="453">
                  <c:v>2.8078388151966688E-2</c:v>
                </c:pt>
                <c:pt idx="454">
                  <c:v>2.9469650329045149E-2</c:v>
                </c:pt>
                <c:pt idx="455">
                  <c:v>3.1136010257182024E-2</c:v>
                </c:pt>
                <c:pt idx="456">
                  <c:v>3.3035865568650742E-2</c:v>
                </c:pt>
                <c:pt idx="457">
                  <c:v>3.513135533850139E-2</c:v>
                </c:pt>
                <c:pt idx="458">
                  <c:v>3.7389601186501052E-2</c:v>
                </c:pt>
                <c:pt idx="459">
                  <c:v>3.9782896585927714E-2</c:v>
                </c:pt>
                <c:pt idx="460">
                  <c:v>4.2288318476419735E-2</c:v>
                </c:pt>
                <c:pt idx="461">
                  <c:v>4.4887095398065707E-2</c:v>
                </c:pt>
                <c:pt idx="462">
                  <c:v>4.7563927738386663E-2</c:v>
                </c:pt>
                <c:pt idx="463">
                  <c:v>5.0306356908897218E-2</c:v>
                </c:pt>
                <c:pt idx="464">
                  <c:v>5.3104221149581868E-2</c:v>
                </c:pt>
                <c:pt idx="465">
                  <c:v>5.6703544946304717E-2</c:v>
                </c:pt>
                <c:pt idx="466">
                  <c:v>5.3834170243765661E-2</c:v>
                </c:pt>
                <c:pt idx="467">
                  <c:v>5.1008530630742101E-2</c:v>
                </c:pt>
                <c:pt idx="468">
                  <c:v>4.8234312924467282E-2</c:v>
                </c:pt>
                <c:pt idx="469">
                  <c:v>4.5520919634811578E-2</c:v>
                </c:pt>
                <c:pt idx="470">
                  <c:v>4.2879899025277377E-2</c:v>
                </c:pt>
                <c:pt idx="471">
                  <c:v>4.0325473231599629E-2</c:v>
                </c:pt>
                <c:pt idx="472">
                  <c:v>3.7875167025405963E-2</c:v>
                </c:pt>
                <c:pt idx="473">
                  <c:v>3.5550516142073191E-2</c:v>
                </c:pt>
                <c:pt idx="474">
                  <c:v>3.3377785331694478E-2</c:v>
                </c:pt>
                <c:pt idx="475">
                  <c:v>3.1388538421612086E-2</c:v>
                </c:pt>
                <c:pt idx="476">
                  <c:v>2.9619766537851425E-2</c:v>
                </c:pt>
                <c:pt idx="477">
                  <c:v>2.8113114914290339E-2</c:v>
                </c:pt>
                <c:pt idx="478">
                  <c:v>2.6912642485026082E-2</c:v>
                </c:pt>
                <c:pt idx="479">
                  <c:v>2.6060695612071361E-2</c:v>
                </c:pt>
                <c:pt idx="480">
                  <c:v>2.5592104660592172E-2</c:v>
                </c:pt>
                <c:pt idx="481">
                  <c:v>2.5527988973827086E-2</c:v>
                </c:pt>
                <c:pt idx="482">
                  <c:v>2.5871355898994496E-2</c:v>
                </c:pt>
                <c:pt idx="483">
                  <c:v>2.6606433920623472E-2</c:v>
                </c:pt>
                <c:pt idx="484">
                  <c:v>2.7702058241366026E-2</c:v>
                </c:pt>
                <c:pt idx="485">
                  <c:v>2.9117557771197664E-2</c:v>
                </c:pt>
                <c:pt idx="486">
                  <c:v>3.0808874455674248E-2</c:v>
                </c:pt>
                <c:pt idx="487">
                  <c:v>3.2733282065925309E-2</c:v>
                </c:pt>
                <c:pt idx="488">
                  <c:v>3.4852190738959635E-2</c:v>
                </c:pt>
                <c:pt idx="489">
                  <c:v>3.7132318520632208E-2</c:v>
                </c:pt>
                <c:pt idx="490">
                  <c:v>3.9545788562703028E-2</c:v>
                </c:pt>
                <c:pt idx="491">
                  <c:v>4.2069658214558957E-2</c:v>
                </c:pt>
                <c:pt idx="492">
                  <c:v>4.468522492333532E-2</c:v>
                </c:pt>
                <c:pt idx="493">
                  <c:v>4.7377304118362357E-2</c:v>
                </c:pt>
                <c:pt idx="494">
                  <c:v>5.013357158146612E-2</c:v>
                </c:pt>
                <c:pt idx="495">
                  <c:v>5.2944003328230148E-2</c:v>
                </c:pt>
                <c:pt idx="496">
                  <c:v>5.6464270897823771E-2</c:v>
                </c:pt>
                <c:pt idx="497">
                  <c:v>5.3585478395058526E-2</c:v>
                </c:pt>
                <c:pt idx="498">
                  <c:v>5.074957671298555E-2</c:v>
                </c:pt>
                <c:pt idx="499">
                  <c:v>4.7964174267703108E-2</c:v>
                </c:pt>
                <c:pt idx="500">
                  <c:v>4.5238599942233469E-2</c:v>
                </c:pt>
                <c:pt idx="501">
                  <c:v>4.2584343028861736E-2</c:v>
                </c:pt>
                <c:pt idx="502">
                  <c:v>4.0015597616198988E-2</c:v>
                </c:pt>
                <c:pt idx="503">
                  <c:v>3.7549917028920334E-2</c:v>
                </c:pt>
                <c:pt idx="504">
                  <c:v>3.5208960792552778E-2</c:v>
                </c:pt>
                <c:pt idx="505">
                  <c:v>3.3019267196891307E-2</c:v>
                </c:pt>
                <c:pt idx="506">
                  <c:v>3.1012892919934955E-2</c:v>
                </c:pt>
                <c:pt idx="507">
                  <c:v>2.9227615079278482E-2</c:v>
                </c:pt>
                <c:pt idx="508">
                  <c:v>2.7706206418364972E-2</c:v>
                </c:pt>
                <c:pt idx="509">
                  <c:v>2.6494163506083673E-2</c:v>
                </c:pt>
                <c:pt idx="510">
                  <c:v>2.5635404435908764E-2</c:v>
                </c:pt>
                <c:pt idx="511">
                  <c:v>2.516612119921521E-2</c:v>
                </c:pt>
                <c:pt idx="512">
                  <c:v>2.510816175569278E-2</c:v>
                </c:pt>
                <c:pt idx="513">
                  <c:v>2.5464334905941365E-2</c:v>
                </c:pt>
                <c:pt idx="514">
                  <c:v>2.6217767879232596E-2</c:v>
                </c:pt>
                <c:pt idx="515">
                  <c:v>2.7335632201435599E-2</c:v>
                </c:pt>
                <c:pt idx="516">
                  <c:v>2.8775487103617745E-2</c:v>
                </c:pt>
                <c:pt idx="517">
                  <c:v>3.0491752379360648E-2</c:v>
                </c:pt>
                <c:pt idx="518">
                  <c:v>3.244058728188326E-2</c:v>
                </c:pt>
                <c:pt idx="519">
                  <c:v>3.4582696224241871E-2</c:v>
                </c:pt>
                <c:pt idx="520">
                  <c:v>3.6884420667788249E-2</c:v>
                </c:pt>
                <c:pt idx="521">
                  <c:v>3.9317738144176141E-2</c:v>
                </c:pt>
                <c:pt idx="522">
                  <c:v>4.1859706311262013E-2</c:v>
                </c:pt>
                <c:pt idx="523">
                  <c:v>4.4491706272873813E-2</c:v>
                </c:pt>
                <c:pt idx="524">
                  <c:v>4.7198678758983446E-2</c:v>
                </c:pt>
                <c:pt idx="525">
                  <c:v>4.9968440650386706E-2</c:v>
                </c:pt>
                <c:pt idx="526">
                  <c:v>5.279110986126534E-2</c:v>
                </c:pt>
                <c:pt idx="527">
                  <c:v>5.6231311331113858E-2</c:v>
                </c:pt>
                <c:pt idx="528">
                  <c:v>5.3343356767908967E-2</c:v>
                </c:pt>
                <c:pt idx="529">
                  <c:v>5.0497460168167384E-2</c:v>
                </c:pt>
                <c:pt idx="530">
                  <c:v>4.7701149781932392E-2</c:v>
                </c:pt>
                <c:pt idx="531">
                  <c:v>4.4963677924703987E-2</c:v>
                </c:pt>
                <c:pt idx="532">
                  <c:v>4.2296470413382511E-2</c:v>
                </c:pt>
                <c:pt idx="533">
                  <c:v>3.9713686825315495E-2</c:v>
                </c:pt>
                <c:pt idx="534">
                  <c:v>3.7232900343698708E-2</c:v>
                </c:pt>
                <c:pt idx="535">
                  <c:v>3.4875883496534213E-2</c:v>
                </c:pt>
                <c:pt idx="536">
                  <c:v>3.2669436270608053E-2</c:v>
                </c:pt>
                <c:pt idx="537">
                  <c:v>3.0646097920131378E-2</c:v>
                </c:pt>
                <c:pt idx="538">
                  <c:v>2.884442760979504E-2</c:v>
                </c:pt>
                <c:pt idx="539">
                  <c:v>2.7308334358920508E-2</c:v>
                </c:pt>
                <c:pt idx="540">
                  <c:v>2.6084778735805985E-2</c:v>
                </c:pt>
                <c:pt idx="541">
                  <c:v>2.5219291680155916E-2</c:v>
                </c:pt>
                <c:pt idx="542">
                  <c:v>2.4749466639042352E-2</c:v>
                </c:pt>
                <c:pt idx="543">
                  <c:v>2.4697893835321765E-2</c:v>
                </c:pt>
                <c:pt idx="544">
                  <c:v>2.5067154920334414E-2</c:v>
                </c:pt>
                <c:pt idx="545">
                  <c:v>2.5839214125331536E-2</c:v>
                </c:pt>
                <c:pt idx="546">
                  <c:v>2.6979513567610622E-2</c:v>
                </c:pt>
                <c:pt idx="547">
                  <c:v>2.8443799904205917E-2</c:v>
                </c:pt>
                <c:pt idx="548">
                  <c:v>3.0184959641377514E-2</c:v>
                </c:pt>
                <c:pt idx="549">
                  <c:v>3.2158051231816587E-2</c:v>
                </c:pt>
                <c:pt idx="550">
                  <c:v>3.4323099574778457E-2</c:v>
                </c:pt>
                <c:pt idx="551">
                  <c:v>3.6646098083256286E-2</c:v>
                </c:pt>
                <c:pt idx="552">
                  <c:v>3.9098903820319428E-2</c:v>
                </c:pt>
                <c:pt idx="553">
                  <c:v>4.1658594432469803E-2</c:v>
                </c:pt>
                <c:pt idx="554">
                  <c:v>4.4306648881887747E-2</c:v>
                </c:pt>
                <c:pt idx="555">
                  <c:v>4.7028142798884072E-2</c:v>
                </c:pt>
                <c:pt idx="556">
                  <c:v>4.9811040242069282E-2</c:v>
                </c:pt>
                <c:pt idx="557">
                  <c:v>5.2645604562938812E-2</c:v>
                </c:pt>
                <c:pt idx="558">
                  <c:v>5.6004745044139555E-2</c:v>
                </c:pt>
                <c:pt idx="559">
                  <c:v>5.3107895224327524E-2</c:v>
                </c:pt>
                <c:pt idx="560">
                  <c:v>5.0252283906034485E-2</c:v>
                </c:pt>
                <c:pt idx="561">
                  <c:v>4.7445357784536728E-2</c:v>
                </c:pt>
                <c:pt idx="562">
                  <c:v>4.4696290089314729E-2</c:v>
                </c:pt>
                <c:pt idx="563">
                  <c:v>4.2016439105534806E-2</c:v>
                </c:pt>
                <c:pt idx="564">
                  <c:v>3.9419923863263866E-2</c:v>
                </c:pt>
                <c:pt idx="565">
                  <c:v>3.6924329033543618E-2</c:v>
                </c:pt>
                <c:pt idx="566">
                  <c:v>3.4551529440601192E-2</c:v>
                </c:pt>
                <c:pt idx="567">
                  <c:v>3.2328574569682696E-2</c:v>
                </c:pt>
                <c:pt idx="568">
                  <c:v>3.0288474964015686E-2</c:v>
                </c:pt>
                <c:pt idx="569">
                  <c:v>2.8470566072692358E-2</c:v>
                </c:pt>
                <c:pt idx="570">
                  <c:v>2.6919899410449945E-2</c:v>
                </c:pt>
                <c:pt idx="571">
                  <c:v>2.5684923027983007E-2</c:v>
                </c:pt>
                <c:pt idx="572">
                  <c:v>2.4812819117414842E-2</c:v>
                </c:pt>
                <c:pt idx="573">
                  <c:v>2.4342620012421566E-2</c:v>
                </c:pt>
                <c:pt idx="574">
                  <c:v>2.4297669445858629E-2</c:v>
                </c:pt>
                <c:pt idx="575">
                  <c:v>2.468029106081902E-2</c:v>
                </c:pt>
                <c:pt idx="576">
                  <c:v>2.5471223529872699E-2</c:v>
                </c:pt>
                <c:pt idx="577">
                  <c:v>2.6634115796966187E-2</c:v>
                </c:pt>
                <c:pt idx="578">
                  <c:v>2.8122863570040891E-2</c:v>
                </c:pt>
                <c:pt idx="579">
                  <c:v>2.988881431886398E-2</c:v>
                </c:pt>
                <c:pt idx="580">
                  <c:v>3.1885943961428985E-2</c:v>
                </c:pt>
                <c:pt idx="581">
                  <c:v>3.4073627017837671E-2</c:v>
                </c:pt>
                <c:pt idx="582">
                  <c:v>3.6417538754088125E-2</c:v>
                </c:pt>
                <c:pt idx="583">
                  <c:v>3.8889441170782718E-2</c:v>
                </c:pt>
                <c:pt idx="584">
                  <c:v>4.1466451200476449E-2</c:v>
                </c:pt>
                <c:pt idx="585">
                  <c:v>4.4130159195981677E-2</c:v>
                </c:pt>
                <c:pt idx="586">
                  <c:v>4.6865784545650616E-2</c:v>
                </c:pt>
                <c:pt idx="587">
                  <c:v>4.9661443861525691E-2</c:v>
                </c:pt>
                <c:pt idx="588">
                  <c:v>5.2507548854036759E-2</c:v>
                </c:pt>
                <c:pt idx="589">
                  <c:v>5.5784649934817097E-2</c:v>
                </c:pt>
                <c:pt idx="590">
                  <c:v>5.2879182732872065E-2</c:v>
                </c:pt>
                <c:pt idx="591">
                  <c:v>5.0014149993360159E-2</c:v>
                </c:pt>
                <c:pt idx="592">
                  <c:v>4.7196915868895996E-2</c:v>
                </c:pt>
                <c:pt idx="593">
                  <c:v>4.443657244239739E-2</c:v>
                </c:pt>
                <c:pt idx="594">
                  <c:v>4.1744406909629009E-2</c:v>
                </c:pt>
                <c:pt idx="595">
                  <c:v>3.9134492215440825E-2</c:v>
                </c:pt>
                <c:pt idx="596">
                  <c:v>3.6624416563265288E-2</c:v>
                </c:pt>
                <c:pt idx="597">
                  <c:v>3.4236146558195325E-2</c:v>
                </c:pt>
                <c:pt idx="598">
                  <c:v>3.1996968741184593E-2</c:v>
                </c:pt>
                <c:pt idx="599">
                  <c:v>2.9940352720198952E-2</c:v>
                </c:pt>
                <c:pt idx="600">
                  <c:v>2.8106402621306259E-2</c:v>
                </c:pt>
                <c:pt idx="601">
                  <c:v>2.6541315915520919E-2</c:v>
                </c:pt>
                <c:pt idx="602">
                  <c:v>2.5295048283398527E-2</c:v>
                </c:pt>
                <c:pt idx="603">
                  <c:v>2.4416468207070999E-2</c:v>
                </c:pt>
                <c:pt idx="604">
                  <c:v>2.3946081238269839E-2</c:v>
                </c:pt>
                <c:pt idx="605">
                  <c:v>2.3907992984527043E-2</c:v>
                </c:pt>
                <c:pt idx="606">
                  <c:v>2.4304235954706249E-2</c:v>
                </c:pt>
                <c:pt idx="607">
                  <c:v>2.5114260432100001E-2</c:v>
                </c:pt>
                <c:pt idx="608">
                  <c:v>2.6299861286252394E-2</c:v>
                </c:pt>
                <c:pt idx="609">
                  <c:v>2.7813050268108982E-2</c:v>
                </c:pt>
                <c:pt idx="610">
                  <c:v>2.9603635953579465E-2</c:v>
                </c:pt>
                <c:pt idx="611">
                  <c:v>3.1624534669196867E-2</c:v>
                </c:pt>
                <c:pt idx="612">
                  <c:v>3.3834502498631076E-2</c:v>
                </c:pt>
                <c:pt idx="613">
                  <c:v>3.6198927615773042E-2</c:v>
                </c:pt>
                <c:pt idx="614">
                  <c:v>3.8689502408916374E-2</c:v>
                </c:pt>
                <c:pt idx="615">
                  <c:v>4.1283401842418244E-2</c:v>
                </c:pt>
                <c:pt idx="616">
                  <c:v>4.3962340402111028E-2</c:v>
                </c:pt>
                <c:pt idx="617">
                  <c:v>4.6711689270406948E-2</c:v>
                </c:pt>
                <c:pt idx="618">
                  <c:v>4.9519722235433487E-2</c:v>
                </c:pt>
                <c:pt idx="619">
                  <c:v>5.2377001641649795E-2</c:v>
                </c:pt>
                <c:pt idx="620">
                  <c:v>5.5571102892507898E-2</c:v>
                </c:pt>
                <c:pt idx="621">
                  <c:v>5.2657307235400831E-2</c:v>
                </c:pt>
                <c:pt idx="622">
                  <c:v>4.9783159489857211E-2</c:v>
                </c:pt>
                <c:pt idx="623">
                  <c:v>4.6955940702079313E-2</c:v>
                </c:pt>
                <c:pt idx="624">
                  <c:v>4.4184660240373964E-2</c:v>
                </c:pt>
                <c:pt idx="625">
                  <c:v>4.1480531202153677E-2</c:v>
                </c:pt>
                <c:pt idx="626">
                  <c:v>3.8857575477426166E-2</c:v>
                </c:pt>
                <c:pt idx="627">
                  <c:v>3.6333377355681706E-2</c:v>
                </c:pt>
                <c:pt idx="628">
                  <c:v>3.3929985014325065E-2</c:v>
                </c:pt>
                <c:pt idx="629">
                  <c:v>3.1674909486685963E-2</c:v>
                </c:pt>
                <c:pt idx="630">
                  <c:v>2.960206637757979E-2</c:v>
                </c:pt>
                <c:pt idx="631">
                  <c:v>2.7752319030506203E-2</c:v>
                </c:pt>
                <c:pt idx="632">
                  <c:v>2.617301137115903E-2</c:v>
                </c:pt>
                <c:pt idx="633">
                  <c:v>2.4915623046877815E-2</c:v>
                </c:pt>
                <c:pt idx="634">
                  <c:v>2.4030739778643218E-2</c:v>
                </c:pt>
                <c:pt idx="635">
                  <c:v>2.356037078908322E-2</c:v>
                </c:pt>
                <c:pt idx="636">
                  <c:v>2.3529388518292858E-2</c:v>
                </c:pt>
                <c:pt idx="637">
                  <c:v>2.3939498977337097E-2</c:v>
                </c:pt>
                <c:pt idx="638">
                  <c:v>2.476880161498618E-2</c:v>
                </c:pt>
                <c:pt idx="639">
                  <c:v>2.5977180187900038E-2</c:v>
                </c:pt>
                <c:pt idx="640">
                  <c:v>2.7514735733824094E-2</c:v>
                </c:pt>
                <c:pt idx="641">
                  <c:v>2.9329744448344457E-2</c:v>
                </c:pt>
                <c:pt idx="642">
                  <c:v>3.1374090763298217E-2</c:v>
                </c:pt>
                <c:pt idx="643">
                  <c:v>3.3605946913569079E-2</c:v>
                </c:pt>
                <c:pt idx="644">
                  <c:v>3.5990445948988141E-2</c:v>
                </c:pt>
                <c:pt idx="645">
                  <c:v>3.8499235916728498E-2</c:v>
                </c:pt>
                <c:pt idx="646">
                  <c:v>4.1109567835873238E-2</c:v>
                </c:pt>
                <c:pt idx="647">
                  <c:v>4.3803292159928758E-2</c:v>
                </c:pt>
                <c:pt idx="648">
                  <c:v>4.6565939004376944E-2</c:v>
                </c:pt>
                <c:pt idx="649">
                  <c:v>4.938594315780654E-2</c:v>
                </c:pt>
                <c:pt idx="650">
                  <c:v>5.2254019201668202E-2</c:v>
                </c:pt>
                <c:pt idx="651">
                  <c:v>5.5364179687573317E-2</c:v>
                </c:pt>
                <c:pt idx="652">
                  <c:v>5.2442355510778818E-2</c:v>
                </c:pt>
                <c:pt idx="653">
                  <c:v>4.9559412279358069E-2</c:v>
                </c:pt>
                <c:pt idx="654">
                  <c:v>4.6722547815239338E-2</c:v>
                </c:pt>
                <c:pt idx="655">
                  <c:v>4.3940687729423757E-2</c:v>
                </c:pt>
                <c:pt idx="656">
                  <c:v>4.1224968609297974E-2</c:v>
                </c:pt>
                <c:pt idx="657">
                  <c:v>3.8589356958310929E-2</c:v>
                </c:pt>
                <c:pt idx="658">
                  <c:v>3.6051426310060787E-2</c:v>
                </c:pt>
                <c:pt idx="659">
                  <c:v>3.3633296633529895E-2</c:v>
                </c:pt>
                <c:pt idx="660">
                  <c:v>3.1362690905018788E-2</c:v>
                </c:pt>
                <c:pt idx="661">
                  <c:v>2.9273956925635287E-2</c:v>
                </c:pt>
                <c:pt idx="662">
                  <c:v>2.7408705957772204E-2</c:v>
                </c:pt>
                <c:pt idx="663">
                  <c:v>2.5815425725537647E-2</c:v>
                </c:pt>
                <c:pt idx="664">
                  <c:v>2.4547131877621683E-2</c:v>
                </c:pt>
                <c:pt idx="665">
                  <c:v>2.3656153456541016E-2</c:v>
                </c:pt>
                <c:pt idx="666">
                  <c:v>2.3186029073926143E-2</c:v>
                </c:pt>
                <c:pt idx="667">
                  <c:v>2.3162398990388383E-2</c:v>
                </c:pt>
                <c:pt idx="668">
                  <c:v>2.3586605196136371E-2</c:v>
                </c:pt>
                <c:pt idx="669">
                  <c:v>2.4435335014735032E-2</c:v>
                </c:pt>
                <c:pt idx="670">
                  <c:v>2.5666509010804923E-2</c:v>
                </c:pt>
                <c:pt idx="671">
                  <c:v>2.7228297912954287E-2</c:v>
                </c:pt>
                <c:pt idx="672">
                  <c:v>2.9067458860156964E-2</c:v>
                </c:pt>
                <c:pt idx="673">
                  <c:v>3.1134876856231664E-2</c:v>
                </c:pt>
                <c:pt idx="674">
                  <c:v>3.3388177309250783E-2</c:v>
                </c:pt>
                <c:pt idx="675">
                  <c:v>3.5792270759630394E-2</c:v>
                </c:pt>
                <c:pt idx="676">
                  <c:v>3.8318785773336868E-2</c:v>
                </c:pt>
                <c:pt idx="677">
                  <c:v>4.0945066553499956E-2</c:v>
                </c:pt>
                <c:pt idx="678">
                  <c:v>4.3653110334931043E-2</c:v>
                </c:pt>
                <c:pt idx="679">
                  <c:v>4.642861233843041E-2</c:v>
                </c:pt>
                <c:pt idx="680">
                  <c:v>4.9260171338986504E-2</c:v>
                </c:pt>
                <c:pt idx="681">
                  <c:v>5.2138655064508786E-2</c:v>
                </c:pt>
                <c:pt idx="682">
                  <c:v>5.51639548592621E-2</c:v>
                </c:pt>
                <c:pt idx="683">
                  <c:v>5.2234413035881097E-2</c:v>
                </c:pt>
                <c:pt idx="684">
                  <c:v>4.934300689669012E-2</c:v>
                </c:pt>
                <c:pt idx="685">
                  <c:v>4.6496851387228991E-2</c:v>
                </c:pt>
                <c:pt idx="686">
                  <c:v>4.3704787874565582E-2</c:v>
                </c:pt>
                <c:pt idx="687">
                  <c:v>4.0977874668056621E-2</c:v>
                </c:pt>
                <c:pt idx="688">
                  <c:v>3.8330019258755975E-2</c:v>
                </c:pt>
                <c:pt idx="689">
                  <c:v>3.577877828207271E-2</c:v>
                </c:pt>
                <c:pt idx="690">
                  <c:v>3.3346334270115782E-2</c:v>
                </c:pt>
                <c:pt idx="691">
                  <c:v>3.1060609750395173E-2</c:v>
                </c:pt>
                <c:pt idx="692">
                  <c:v>2.895637031455869E-2</c:v>
                </c:pt>
                <c:pt idx="693">
                  <c:v>2.707596204083677E-2</c:v>
                </c:pt>
                <c:pt idx="694">
                  <c:v>2.5469010463606112E-2</c:v>
                </c:pt>
                <c:pt idx="695">
                  <c:v>2.4190074461836356E-2</c:v>
                </c:pt>
                <c:pt idx="696">
                  <c:v>2.3293246786538047E-2</c:v>
                </c:pt>
                <c:pt idx="697">
                  <c:v>2.2823615492804948E-2</c:v>
                </c:pt>
                <c:pt idx="698">
                  <c:v>2.2807585084434364E-2</c:v>
                </c:pt>
                <c:pt idx="699">
                  <c:v>2.3246093984140345E-2</c:v>
                </c:pt>
                <c:pt idx="700">
                  <c:v>2.4114358141379688E-2</c:v>
                </c:pt>
                <c:pt idx="701">
                  <c:v>2.5368288995070792E-2</c:v>
                </c:pt>
                <c:pt idx="702">
                  <c:v>2.6954115444948305E-2</c:v>
                </c:pt>
                <c:pt idx="703">
                  <c:v>2.8817096092723118E-2</c:v>
                </c:pt>
                <c:pt idx="704">
                  <c:v>3.090715370153552E-2</c:v>
                </c:pt>
                <c:pt idx="705">
                  <c:v>3.3181406051566137E-2</c:v>
                </c:pt>
                <c:pt idx="706">
                  <c:v>3.5604574145788416E-2</c:v>
                </c:pt>
                <c:pt idx="707">
                  <c:v>3.8148291279721115E-2</c:v>
                </c:pt>
                <c:pt idx="708">
                  <c:v>4.0790010908768014E-2</c:v>
                </c:pt>
                <c:pt idx="709">
                  <c:v>4.3511886734866438E-2</c:v>
                </c:pt>
                <c:pt idx="710">
                  <c:v>4.6299784226643492E-2</c:v>
                </c:pt>
                <c:pt idx="711">
                  <c:v>4.9142468258677352E-2</c:v>
                </c:pt>
                <c:pt idx="712">
                  <c:v>5.203095990457933E-2</c:v>
                </c:pt>
                <c:pt idx="713">
                  <c:v>5.4970501602223928E-2</c:v>
                </c:pt>
                <c:pt idx="714">
                  <c:v>5.2033563844270096E-2</c:v>
                </c:pt>
                <c:pt idx="715">
                  <c:v>4.913404035072657E-2</c:v>
                </c:pt>
                <c:pt idx="716">
                  <c:v>4.6278964022041229E-2</c:v>
                </c:pt>
                <c:pt idx="717">
                  <c:v>4.3477092078880036E-2</c:v>
                </c:pt>
                <c:pt idx="718">
                  <c:v>4.0739403471736123E-2</c:v>
                </c:pt>
                <c:pt idx="719">
                  <c:v>3.807974382458295E-2</c:v>
                </c:pt>
                <c:pt idx="720">
                  <c:v>3.5515647525763736E-2</c:v>
                </c:pt>
                <c:pt idx="721">
                  <c:v>3.3069351120307428E-2</c:v>
                </c:pt>
                <c:pt idx="722">
                  <c:v>3.0768964603599101E-2</c:v>
                </c:pt>
                <c:pt idx="723">
                  <c:v>2.8649656489255798E-2</c:v>
                </c:pt>
                <c:pt idx="724">
                  <c:v>2.6754492819761042E-2</c:v>
                </c:pt>
                <c:pt idx="725">
                  <c:v>2.5134227460743633E-2</c:v>
                </c:pt>
                <c:pt idx="726">
                  <c:v>2.384496443632533E-2</c:v>
                </c:pt>
                <c:pt idx="727">
                  <c:v>2.2942574023119281E-2</c:v>
                </c:pt>
                <c:pt idx="728">
                  <c:v>2.2473707116505259E-2</c:v>
                </c:pt>
                <c:pt idx="729">
                  <c:v>2.2465523702466329E-2</c:v>
                </c:pt>
                <c:pt idx="730">
                  <c:v>2.2918517268993643E-2</c:v>
                </c:pt>
                <c:pt idx="731">
                  <c:v>2.380637619016614E-2</c:v>
                </c:pt>
                <c:pt idx="732">
                  <c:v>2.5082964253088685E-2</c:v>
                </c:pt>
                <c:pt idx="733">
                  <c:v>2.6692565988514598E-2</c:v>
                </c:pt>
                <c:pt idx="734">
                  <c:v>2.8578969493250689E-2</c:v>
                </c:pt>
                <c:pt idx="735">
                  <c:v>3.0691177078381447E-2</c:v>
                </c:pt>
                <c:pt idx="736">
                  <c:v>3.2985839970090899E-2</c:v>
                </c:pt>
                <c:pt idx="737">
                  <c:v>3.5427522655751588E-2</c:v>
                </c:pt>
                <c:pt idx="738">
                  <c:v>3.798788648280664E-2</c:v>
                </c:pt>
                <c:pt idx="739">
                  <c:v>4.0644509004942861E-2</c:v>
                </c:pt>
                <c:pt idx="740">
                  <c:v>4.3379708850920427E-2</c:v>
                </c:pt>
                <c:pt idx="741">
                  <c:v>4.6179525794921655E-2</c:v>
                </c:pt>
                <c:pt idx="742">
                  <c:v>4.9032892023747797E-2</c:v>
                </c:pt>
                <c:pt idx="743">
                  <c:v>5.1930981433982663E-2</c:v>
                </c:pt>
                <c:pt idx="744">
                  <c:v>5.4783891651963686E-2</c:v>
                </c:pt>
                <c:pt idx="745">
                  <c:v>5.183989038295736E-2</c:v>
                </c:pt>
                <c:pt idx="746">
                  <c:v>4.8932607944145376E-2</c:v>
                </c:pt>
                <c:pt idx="747">
                  <c:v>4.6068996520754718E-2</c:v>
                </c:pt>
                <c:pt idx="748">
                  <c:v>4.3257729893727045E-2</c:v>
                </c:pt>
                <c:pt idx="749">
                  <c:v>4.0509707300885912E-2</c:v>
                </c:pt>
                <c:pt idx="750">
                  <c:v>3.7838710477019664E-2</c:v>
                </c:pt>
                <c:pt idx="751">
                  <c:v>3.5262247098553613E-2</c:v>
                </c:pt>
                <c:pt idx="752">
                  <c:v>3.2802599976688641E-2</c:v>
                </c:pt>
                <c:pt idx="753">
                  <c:v>3.0488054954970815E-2</c:v>
                </c:pt>
                <c:pt idx="754">
                  <c:v>2.8354168292500721E-2</c:v>
                </c:pt>
                <c:pt idx="755">
                  <c:v>2.6444709472729165E-2</c:v>
                </c:pt>
                <c:pt idx="756">
                  <c:v>2.4811547584746033E-2</c:v>
                </c:pt>
                <c:pt idx="757">
                  <c:v>2.3512327892376957E-2</c:v>
                </c:pt>
                <c:pt idx="758">
                  <c:v>2.2604704536946407E-2</c:v>
                </c:pt>
                <c:pt idx="759">
                  <c:v>2.2136896946096749E-2</c:v>
                </c:pt>
                <c:pt idx="760">
                  <c:v>2.213680601435165E-2</c:v>
                </c:pt>
                <c:pt idx="761">
                  <c:v>2.2604437386217539E-2</c:v>
                </c:pt>
                <c:pt idx="762">
                  <c:v>2.3511899827391429E-2</c:v>
                </c:pt>
                <c:pt idx="763">
                  <c:v>2.481097967341505E-2</c:v>
                </c:pt>
                <c:pt idx="764">
                  <c:v>2.6444024393639607E-2</c:v>
                </c:pt>
                <c:pt idx="765">
                  <c:v>2.8353387360660537E-2</c:v>
                </c:pt>
                <c:pt idx="766">
                  <c:v>3.0487196631231749E-2</c:v>
                </c:pt>
                <c:pt idx="767">
                  <c:v>3.2801679483748673E-2</c:v>
                </c:pt>
                <c:pt idx="768">
                  <c:v>3.526127664156864E-2</c:v>
                </c:pt>
                <c:pt idx="769">
                  <c:v>3.783769970211398E-2</c:v>
                </c:pt>
                <c:pt idx="770">
                  <c:v>4.0508663789576474E-2</c:v>
                </c:pt>
                <c:pt idx="771">
                  <c:v>4.3256659605221459E-2</c:v>
                </c:pt>
                <c:pt idx="772">
                  <c:v>4.6067904155740774E-2</c:v>
                </c:pt>
                <c:pt idx="773">
                  <c:v>4.8931497231522611E-2</c:v>
                </c:pt>
                <c:pt idx="774">
                  <c:v>5.1838764300954902E-2</c:v>
                </c:pt>
                <c:pt idx="775">
                  <c:v>5.4604195169571761E-2</c:v>
                </c:pt>
                <c:pt idx="776">
                  <c:v>5.1653473367692639E-2</c:v>
                </c:pt>
                <c:pt idx="777">
                  <c:v>4.8738803090480669E-2</c:v>
                </c:pt>
                <c:pt idx="778">
                  <c:v>4.5867057648750799E-2</c:v>
                </c:pt>
                <c:pt idx="779">
                  <c:v>4.3046828720946166E-2</c:v>
                </c:pt>
                <c:pt idx="780">
                  <c:v>4.028893624089111E-2</c:v>
                </c:pt>
                <c:pt idx="781">
                  <c:v>3.7607096921062226E-2</c:v>
                </c:pt>
                <c:pt idx="782">
                  <c:v>3.501878823079424E-2</c:v>
                </c:pt>
                <c:pt idx="783">
                  <c:v>3.2546332426123294E-2</c:v>
                </c:pt>
                <c:pt idx="784">
                  <c:v>3.0218180199106985E-2</c:v>
                </c:pt>
                <c:pt idx="785">
                  <c:v>2.8070260234189934E-2</c:v>
                </c:pt>
                <c:pt idx="786">
                  <c:v>2.6147027356853664E-2</c:v>
                </c:pt>
                <c:pt idx="787">
                  <c:v>2.4501449028586638E-2</c:v>
                </c:pt>
                <c:pt idx="788">
                  <c:v>2.3192701531220342E-2</c:v>
                </c:pt>
                <c:pt idx="789">
                  <c:v>2.2280220803384758E-2</c:v>
                </c:pt>
                <c:pt idx="790">
                  <c:v>2.1813791708328735E-2</c:v>
                </c:pt>
                <c:pt idx="791">
                  <c:v>2.1822035039303498E-2</c:v>
                </c:pt>
                <c:pt idx="792">
                  <c:v>2.2304424510269118E-2</c:v>
                </c:pt>
                <c:pt idx="793">
                  <c:v>2.3231442639824677E-2</c:v>
                </c:pt>
                <c:pt idx="794">
                  <c:v>2.4552778588911285E-2</c:v>
                </c:pt>
                <c:pt idx="795">
                  <c:v>2.6208860728009577E-2</c:v>
                </c:pt>
                <c:pt idx="796">
                  <c:v>2.8140651374830874E-2</c:v>
                </c:pt>
                <c:pt idx="797">
                  <c:v>3.029545467318167E-2</c:v>
                </c:pt>
                <c:pt idx="798">
                  <c:v>3.2629117714478663E-2</c:v>
                </c:pt>
                <c:pt idx="799">
                  <c:v>3.5105989613045695E-2</c:v>
                </c:pt>
                <c:pt idx="800">
                  <c:v>3.7697853062378821E-2</c:v>
                </c:pt>
                <c:pt idx="801">
                  <c:v>4.0382572716824307E-2</c:v>
                </c:pt>
                <c:pt idx="802">
                  <c:v>4.3142817106234119E-2</c:v>
                </c:pt>
                <c:pt idx="803">
                  <c:v>4.5964982230060722E-2</c:v>
                </c:pt>
                <c:pt idx="804">
                  <c:v>4.8838334839274515E-2</c:v>
                </c:pt>
                <c:pt idx="805">
                  <c:v>5.1754349993520896E-2</c:v>
                </c:pt>
                <c:pt idx="806">
                  <c:v>5.4431480626085001E-2</c:v>
                </c:pt>
                <c:pt idx="807">
                  <c:v>5.1474391637254202E-2</c:v>
                </c:pt>
                <c:pt idx="808">
                  <c:v>4.8552717129100524E-2</c:v>
                </c:pt>
                <c:pt idx="809">
                  <c:v>4.567325389904843E-2</c:v>
                </c:pt>
                <c:pt idx="810">
                  <c:v>4.2844513508159945E-2</c:v>
                </c:pt>
                <c:pt idx="811">
                  <c:v>4.0077237787680978E-2</c:v>
                </c:pt>
                <c:pt idx="812">
                  <c:v>3.738507823377147E-2</c:v>
                </c:pt>
                <c:pt idx="813">
                  <c:v>3.4785479662002204E-2</c:v>
                </c:pt>
                <c:pt idx="814">
                  <c:v>3.2300797993260022E-2</c:v>
                </c:pt>
                <c:pt idx="815">
                  <c:v>2.995963854259057E-2</c:v>
                </c:pt>
                <c:pt idx="816">
                  <c:v>2.7798287125638373E-2</c:v>
                </c:pt>
                <c:pt idx="817">
                  <c:v>2.5861864347947759E-2</c:v>
                </c:pt>
                <c:pt idx="818">
                  <c:v>2.4204415359585472E-2</c:v>
                </c:pt>
                <c:pt idx="819">
                  <c:v>2.288663044579714E-2</c:v>
                </c:pt>
                <c:pt idx="820">
                  <c:v>2.1969715936741373E-2</c:v>
                </c:pt>
                <c:pt idx="821">
                  <c:v>2.150500914752632E-2</c:v>
                </c:pt>
                <c:pt idx="822">
                  <c:v>2.1521822725892415E-2</c:v>
                </c:pt>
                <c:pt idx="823">
                  <c:v>2.2019053643827516E-2</c:v>
                </c:pt>
                <c:pt idx="824">
                  <c:v>2.2965518243885433E-2</c:v>
                </c:pt>
                <c:pt idx="825">
                  <c:v>2.4308800216509684E-2</c:v>
                </c:pt>
                <c:pt idx="826">
                  <c:v>2.5987438169961925E-2</c:v>
                </c:pt>
                <c:pt idx="827">
                  <c:v>2.7941054959046783E-2</c:v>
                </c:pt>
                <c:pt idx="828">
                  <c:v>3.0116184963019755E-2</c:v>
                </c:pt>
                <c:pt idx="829">
                  <c:v>3.246833959636107E-2</c:v>
                </c:pt>
                <c:pt idx="830">
                  <c:v>3.4961807597404124E-2</c:v>
                </c:pt>
                <c:pt idx="831">
                  <c:v>3.7568462035684237E-2</c:v>
                </c:pt>
                <c:pt idx="832">
                  <c:v>4.0266327419952973E-2</c:v>
                </c:pt>
                <c:pt idx="833">
                  <c:v>4.3038254413608958E-2</c:v>
                </c:pt>
                <c:pt idx="834">
                  <c:v>4.5870818577453704E-2</c:v>
                </c:pt>
                <c:pt idx="835">
                  <c:v>4.8753452040612252E-2</c:v>
                </c:pt>
                <c:pt idx="836">
                  <c:v>5.1677776748834232E-2</c:v>
                </c:pt>
                <c:pt idx="837">
                  <c:v>5.4265814686850912E-2</c:v>
                </c:pt>
                <c:pt idx="838">
                  <c:v>5.1302722007243576E-2</c:v>
                </c:pt>
                <c:pt idx="839">
                  <c:v>4.8374439138793641E-2</c:v>
                </c:pt>
                <c:pt idx="840">
                  <c:v>4.5487689252682997E-2</c:v>
                </c:pt>
                <c:pt idx="841">
                  <c:v>4.2650906438432466E-2</c:v>
                </c:pt>
                <c:pt idx="842">
                  <c:v>3.9874756443226765E-2</c:v>
                </c:pt>
                <c:pt idx="843">
                  <c:v>3.7172826334687735E-2</c:v>
                </c:pt>
                <c:pt idx="844">
                  <c:v>3.4562526946485261E-2</c:v>
                </c:pt>
                <c:pt idx="845">
                  <c:v>3.2066243232715182E-2</c:v>
                </c:pt>
                <c:pt idx="846">
                  <c:v>2.9712725827635712E-2</c:v>
                </c:pt>
                <c:pt idx="847">
                  <c:v>2.7538602580238422E-2</c:v>
                </c:pt>
                <c:pt idx="848">
                  <c:v>2.5589638976582771E-2</c:v>
                </c:pt>
                <c:pt idx="849">
                  <c:v>2.3920933274996614E-2</c:v>
                </c:pt>
                <c:pt idx="850">
                  <c:v>2.2594665508860766E-2</c:v>
                </c:pt>
                <c:pt idx="851">
                  <c:v>2.1673790740967116E-2</c:v>
                </c:pt>
                <c:pt idx="852">
                  <c:v>2.1211174781813127E-2</c:v>
                </c:pt>
                <c:pt idx="853">
                  <c:v>2.1236786505530538E-2</c:v>
                </c:pt>
                <c:pt idx="854">
                  <c:v>2.1748901155088485E-2</c:v>
                </c:pt>
                <c:pt idx="855">
                  <c:v>2.2714637059429332E-2</c:v>
                </c:pt>
                <c:pt idx="856">
                  <c:v>2.4079476882707763E-2</c:v>
                </c:pt>
                <c:pt idx="857">
                  <c:v>2.5780110784548241E-2</c:v>
                </c:pt>
                <c:pt idx="858">
                  <c:v>2.7754881590411618E-2</c:v>
                </c:pt>
                <c:pt idx="859">
                  <c:v>2.9949611467386762E-2</c:v>
                </c:pt>
                <c:pt idx="860">
                  <c:v>3.2319520988290433E-2</c:v>
                </c:pt>
                <c:pt idx="861">
                  <c:v>3.4828868510089914E-2</c:v>
                </c:pt>
                <c:pt idx="862">
                  <c:v>3.7449634996741775E-2</c:v>
                </c:pt>
                <c:pt idx="863">
                  <c:v>4.0160013396420897E-2</c:v>
                </c:pt>
                <c:pt idx="864">
                  <c:v>4.2943039314045889E-2</c:v>
                </c:pt>
                <c:pt idx="865">
                  <c:v>4.5785467235468308E-2</c:v>
                </c:pt>
                <c:pt idx="866">
                  <c:v>4.8676892149438419E-2</c:v>
                </c:pt>
                <c:pt idx="867">
                  <c:v>5.1609079468650114E-2</c:v>
                </c:pt>
                <c:pt idx="868">
                  <c:v>5.4107262096284435E-2</c:v>
                </c:pt>
                <c:pt idx="869">
                  <c:v>5.1138539123915139E-2</c:v>
                </c:pt>
                <c:pt idx="870">
                  <c:v>4.8204055750692233E-2</c:v>
                </c:pt>
                <c:pt idx="871">
                  <c:v>4.5310464937130771E-2</c:v>
                </c:pt>
                <c:pt idx="872">
                  <c:v>4.2466126615663166E-2</c:v>
                </c:pt>
                <c:pt idx="873">
                  <c:v>3.9681633302720544E-2</c:v>
                </c:pt>
                <c:pt idx="874">
                  <c:v>3.6970509440919126E-2</c:v>
                </c:pt>
                <c:pt idx="875">
                  <c:v>3.4350131731713439E-2</c:v>
                </c:pt>
                <c:pt idx="876">
                  <c:v>3.1842910774087685E-2</c:v>
                </c:pt>
                <c:pt idx="877">
                  <c:v>2.9477734276270581E-2</c:v>
                </c:pt>
                <c:pt idx="878">
                  <c:v>2.7291557384542784E-2</c:v>
                </c:pt>
                <c:pt idx="879">
                  <c:v>2.5330768361828907E-2</c:v>
                </c:pt>
                <c:pt idx="880">
                  <c:v>2.365149005967571E-2</c:v>
                </c:pt>
                <c:pt idx="881">
                  <c:v>2.2317360354681539E-2</c:v>
                </c:pt>
                <c:pt idx="882">
                  <c:v>2.1393050256425596E-2</c:v>
                </c:pt>
                <c:pt idx="883">
                  <c:v>2.0932918101943049E-2</c:v>
                </c:pt>
                <c:pt idx="884">
                  <c:v>2.0967545306182705E-2</c:v>
                </c:pt>
                <c:pt idx="885">
                  <c:v>2.1494540864751211E-2</c:v>
                </c:pt>
                <c:pt idx="886">
                  <c:v>2.2479302763243381E-2</c:v>
                </c:pt>
                <c:pt idx="887">
                  <c:v>2.3865231056332325E-2</c:v>
                </c:pt>
                <c:pt idx="888">
                  <c:v>2.5587221203916665E-2</c:v>
                </c:pt>
                <c:pt idx="889">
                  <c:v>2.7582403075505621E-2</c:v>
                </c:pt>
                <c:pt idx="890">
                  <c:v>2.9795947120650951E-2</c:v>
                </c:pt>
                <c:pt idx="891">
                  <c:v>3.2182827798828667E-2</c:v>
                </c:pt>
                <c:pt idx="892">
                  <c:v>3.4707301542427016E-2</c:v>
                </c:pt>
                <c:pt idx="893">
                  <c:v>3.734147279500797E-2</c:v>
                </c:pt>
                <c:pt idx="894">
                  <c:v>4.0063709707903364E-2</c:v>
                </c:pt>
                <c:pt idx="895">
                  <c:v>4.2857234109697814E-2</c:v>
                </c:pt>
                <c:pt idx="896">
                  <c:v>4.5708977569217268E-2</c:v>
                </c:pt>
                <c:pt idx="897">
                  <c:v>4.8608694492121837E-2</c:v>
                </c:pt>
                <c:pt idx="898">
                  <c:v>5.1548289641355993E-2</c:v>
                </c:pt>
                <c:pt idx="899">
                  <c:v>5.3955885563421034E-2</c:v>
                </c:pt>
                <c:pt idx="900">
                  <c:v>5.0981915318595847E-2</c:v>
                </c:pt>
                <c:pt idx="901">
                  <c:v>4.8041650961300593E-2</c:v>
                </c:pt>
                <c:pt idx="902">
                  <c:v>4.5141679183852444E-2</c:v>
                </c:pt>
                <c:pt idx="903">
                  <c:v>4.2290289747219115E-2</c:v>
                </c:pt>
                <c:pt idx="904">
                  <c:v>3.9498005635539381E-2</c:v>
                </c:pt>
                <c:pt idx="905">
                  <c:v>3.6778291509828476E-2</c:v>
                </c:pt>
                <c:pt idx="906">
                  <c:v>3.4148491013428518E-2</c:v>
                </c:pt>
                <c:pt idx="907">
                  <c:v>3.1631038325068646E-2</c:v>
                </c:pt>
                <c:pt idx="908">
                  <c:v>2.9254951161558622E-2</c:v>
                </c:pt>
                <c:pt idx="909">
                  <c:v>2.7057497746906772E-2</c:v>
                </c:pt>
                <c:pt idx="910">
                  <c:v>2.5085665948864421E-2</c:v>
                </c:pt>
                <c:pt idx="911">
                  <c:v>2.3396570748458686E-2</c:v>
                </c:pt>
                <c:pt idx="912">
                  <c:v>2.205526795105232E-2</c:v>
                </c:pt>
                <c:pt idx="913">
                  <c:v>2.1128099794190339E-2</c:v>
                </c:pt>
                <c:pt idx="914">
                  <c:v>2.0670868205019354E-2</c:v>
                </c:pt>
                <c:pt idx="915">
                  <c:v>2.0714715028229566E-2</c:v>
                </c:pt>
                <c:pt idx="916">
                  <c:v>2.125653969882459E-2</c:v>
                </c:pt>
                <c:pt idx="917">
                  <c:v>2.2260008449012724E-2</c:v>
                </c:pt>
                <c:pt idx="918">
                  <c:v>2.3666472218055561E-2</c:v>
                </c:pt>
                <c:pt idx="919">
                  <c:v>2.5409098237862353E-2</c:v>
                </c:pt>
                <c:pt idx="920">
                  <c:v>2.7423877810954265E-2</c:v>
                </c:pt>
                <c:pt idx="921">
                  <c:v>2.9655392596194468E-2</c:v>
                </c:pt>
                <c:pt idx="922">
                  <c:v>3.2058415132288867E-2</c:v>
                </c:pt>
                <c:pt idx="923">
                  <c:v>3.4597226571928791E-2</c:v>
                </c:pt>
                <c:pt idx="924">
                  <c:v>3.7244068347322773E-2</c:v>
                </c:pt>
                <c:pt idx="925">
                  <c:v>3.9977488697593176E-2</c:v>
                </c:pt>
                <c:pt idx="926">
                  <c:v>4.2780895420593941E-2</c:v>
                </c:pt>
                <c:pt idx="927">
                  <c:v>4.5641394132134791E-2</c:v>
                </c:pt>
                <c:pt idx="928">
                  <c:v>4.8548894308494885E-2</c:v>
                </c:pt>
                <c:pt idx="929">
                  <c:v>5.1495435270957859E-2</c:v>
                </c:pt>
                <c:pt idx="930">
                  <c:v>5.3811745648682976E-2</c:v>
                </c:pt>
                <c:pt idx="931">
                  <c:v>5.0832920463272147E-2</c:v>
                </c:pt>
                <c:pt idx="932">
                  <c:v>4.7887305946436573E-2</c:v>
                </c:pt>
                <c:pt idx="933">
                  <c:v>4.4981426986094523E-2</c:v>
                </c:pt>
                <c:pt idx="934">
                  <c:v>4.2123507825423942E-2</c:v>
                </c:pt>
                <c:pt idx="935">
                  <c:v>3.9324006462302608E-2</c:v>
                </c:pt>
                <c:pt idx="936">
                  <c:v>3.6596331672605488E-2</c:v>
                </c:pt>
                <c:pt idx="937">
                  <c:v>3.3957796372128528E-2</c:v>
                </c:pt>
                <c:pt idx="938">
                  <c:v>3.1430857639046517E-2</c:v>
                </c:pt>
                <c:pt idx="939">
                  <c:v>2.9044657414342801E-2</c:v>
                </c:pt>
                <c:pt idx="940">
                  <c:v>2.6836763434187321E-2</c:v>
                </c:pt>
                <c:pt idx="941">
                  <c:v>2.4854739062078177E-2</c:v>
                </c:pt>
                <c:pt idx="942">
                  <c:v>2.3156655004143455E-2</c:v>
                </c:pt>
                <c:pt idx="943">
                  <c:v>2.1808936769895853E-2</c:v>
                </c:pt>
                <c:pt idx="944">
                  <c:v>2.0879540464319998E-2</c:v>
                </c:pt>
                <c:pt idx="945">
                  <c:v>2.0425648873034625E-2</c:v>
                </c:pt>
                <c:pt idx="946">
                  <c:v>2.0478903502953734E-2</c:v>
                </c:pt>
                <c:pt idx="947">
                  <c:v>2.1035452940156699E-2</c:v>
                </c:pt>
                <c:pt idx="948">
                  <c:v>2.2057232533281904E-2</c:v>
                </c:pt>
                <c:pt idx="949">
                  <c:v>2.3483593604311456E-2</c:v>
                </c:pt>
                <c:pt idx="950">
                  <c:v>2.5246054444865489E-2</c:v>
                </c:pt>
                <c:pt idx="951">
                  <c:v>2.7279549050694237E-2</c:v>
                </c:pt>
                <c:pt idx="952">
                  <c:v>2.9528135103673903E-2</c:v>
                </c:pt>
                <c:pt idx="953">
                  <c:v>3.1946426465379062E-2</c:v>
                </c:pt>
                <c:pt idx="954">
                  <c:v>3.44987536011142E-2</c:v>
                </c:pt>
                <c:pt idx="955">
                  <c:v>3.7157506254704105E-2</c:v>
                </c:pt>
                <c:pt idx="956">
                  <c:v>3.9901415727036871E-2</c:v>
                </c:pt>
                <c:pt idx="957">
                  <c:v>4.2714074002496431E-2</c:v>
                </c:pt>
                <c:pt idx="958">
                  <c:v>4.5582756538795718E-2</c:v>
                </c:pt>
                <c:pt idx="959">
                  <c:v>4.8497522662245066E-2</c:v>
                </c:pt>
                <c:pt idx="960">
                  <c:v>5.1450540813389789E-2</c:v>
                </c:pt>
              </c:numCache>
            </c:numRef>
          </c:xVal>
          <c:yVal>
            <c:numRef>
              <c:f>Portfolio!$AS$2:$AS$962</c:f>
              <c:numCache>
                <c:formatCode>General</c:formatCode>
                <c:ptCount val="961"/>
                <c:pt idx="0">
                  <c:v>2.5756947372280498E-3</c:v>
                </c:pt>
                <c:pt idx="1">
                  <c:v>2.3986122019119291E-3</c:v>
                </c:pt>
                <c:pt idx="2">
                  <c:v>2.2215296665958079E-3</c:v>
                </c:pt>
                <c:pt idx="3">
                  <c:v>2.0444471312796872E-3</c:v>
                </c:pt>
                <c:pt idx="4">
                  <c:v>1.8673645959635665E-3</c:v>
                </c:pt>
                <c:pt idx="5">
                  <c:v>1.6902820606474458E-3</c:v>
                </c:pt>
                <c:pt idx="6">
                  <c:v>1.5131995253313249E-3</c:v>
                </c:pt>
                <c:pt idx="7">
                  <c:v>1.3361169900152042E-3</c:v>
                </c:pt>
                <c:pt idx="8">
                  <c:v>1.1590344546990837E-3</c:v>
                </c:pt>
                <c:pt idx="9">
                  <c:v>9.8195191938296278E-4</c:v>
                </c:pt>
                <c:pt idx="10">
                  <c:v>8.0486938406684196E-4</c:v>
                </c:pt>
                <c:pt idx="11">
                  <c:v>6.2778684875072115E-4</c:v>
                </c:pt>
                <c:pt idx="12">
                  <c:v>4.5070431343460039E-4</c:v>
                </c:pt>
                <c:pt idx="13">
                  <c:v>2.7362177811847963E-4</c:v>
                </c:pt>
                <c:pt idx="14">
                  <c:v>9.6539242802367789E-5</c:v>
                </c:pt>
                <c:pt idx="15">
                  <c:v>-8.0543292513752943E-5</c:v>
                </c:pt>
                <c:pt idx="16">
                  <c:v>-2.576258278298737E-4</c:v>
                </c:pt>
                <c:pt idx="17">
                  <c:v>-4.3470836314599441E-4</c:v>
                </c:pt>
                <c:pt idx="18">
                  <c:v>-6.1179089846211522E-4</c:v>
                </c:pt>
                <c:pt idx="19">
                  <c:v>-7.8887343377823604E-4</c:v>
                </c:pt>
                <c:pt idx="20">
                  <c:v>-9.6595596909435674E-4</c:v>
                </c:pt>
                <c:pt idx="21">
                  <c:v>-1.1430385044104772E-3</c:v>
                </c:pt>
                <c:pt idx="22">
                  <c:v>-1.3201210397265979E-3</c:v>
                </c:pt>
                <c:pt idx="23">
                  <c:v>-1.4972035750427191E-3</c:v>
                </c:pt>
                <c:pt idx="24">
                  <c:v>-1.6742861103588396E-3</c:v>
                </c:pt>
                <c:pt idx="25">
                  <c:v>-1.8513686456749605E-3</c:v>
                </c:pt>
                <c:pt idx="26">
                  <c:v>-2.0284511809910816E-3</c:v>
                </c:pt>
                <c:pt idx="27">
                  <c:v>-2.2055337163072019E-3</c:v>
                </c:pt>
                <c:pt idx="28">
                  <c:v>-2.382616251623323E-3</c:v>
                </c:pt>
                <c:pt idx="29">
                  <c:v>-2.5596987869394433E-3</c:v>
                </c:pt>
                <c:pt idx="30">
                  <c:v>-2.736781322255564E-3</c:v>
                </c:pt>
                <c:pt idx="31">
                  <c:v>2.5801654695100816E-3</c:v>
                </c:pt>
                <c:pt idx="32">
                  <c:v>2.4030829341939609E-3</c:v>
                </c:pt>
                <c:pt idx="33">
                  <c:v>2.2260003988778402E-3</c:v>
                </c:pt>
                <c:pt idx="34">
                  <c:v>2.048917863561719E-3</c:v>
                </c:pt>
                <c:pt idx="35">
                  <c:v>1.8718353282455981E-3</c:v>
                </c:pt>
                <c:pt idx="36">
                  <c:v>1.6947527929294776E-3</c:v>
                </c:pt>
                <c:pt idx="37">
                  <c:v>1.5176702576133567E-3</c:v>
                </c:pt>
                <c:pt idx="38">
                  <c:v>1.340587722297236E-3</c:v>
                </c:pt>
                <c:pt idx="39">
                  <c:v>1.1635051869811155E-3</c:v>
                </c:pt>
                <c:pt idx="40">
                  <c:v>9.8642265166499457E-4</c:v>
                </c:pt>
                <c:pt idx="41">
                  <c:v>8.0934011634887398E-4</c:v>
                </c:pt>
                <c:pt idx="42">
                  <c:v>6.3225758103275316E-4</c:v>
                </c:pt>
                <c:pt idx="43">
                  <c:v>4.5517504571663235E-4</c:v>
                </c:pt>
                <c:pt idx="44">
                  <c:v>2.7809251040051164E-4</c:v>
                </c:pt>
                <c:pt idx="45">
                  <c:v>1.0100997508439975E-4</c:v>
                </c:pt>
                <c:pt idx="46">
                  <c:v>-7.6072560231721012E-5</c:v>
                </c:pt>
                <c:pt idx="47">
                  <c:v>-2.5315509554784174E-4</c:v>
                </c:pt>
                <c:pt idx="48">
                  <c:v>-4.302376308639625E-4</c:v>
                </c:pt>
                <c:pt idx="49">
                  <c:v>-6.0732016618008321E-4</c:v>
                </c:pt>
                <c:pt idx="50">
                  <c:v>-7.8440270149620402E-4</c:v>
                </c:pt>
                <c:pt idx="51">
                  <c:v>-9.6148523681232484E-4</c:v>
                </c:pt>
                <c:pt idx="52">
                  <c:v>-1.1385677721284454E-3</c:v>
                </c:pt>
                <c:pt idx="53">
                  <c:v>-1.3156503074445664E-3</c:v>
                </c:pt>
                <c:pt idx="54">
                  <c:v>-1.4927328427606873E-3</c:v>
                </c:pt>
                <c:pt idx="55">
                  <c:v>-1.6698153780768078E-3</c:v>
                </c:pt>
                <c:pt idx="56">
                  <c:v>-1.8468979133929287E-3</c:v>
                </c:pt>
                <c:pt idx="57">
                  <c:v>-2.0239804487090494E-3</c:v>
                </c:pt>
                <c:pt idx="58">
                  <c:v>-2.2010629840251701E-3</c:v>
                </c:pt>
                <c:pt idx="59">
                  <c:v>-2.3781455193412908E-3</c:v>
                </c:pt>
                <c:pt idx="60">
                  <c:v>-2.5552280546574115E-3</c:v>
                </c:pt>
                <c:pt idx="61">
                  <c:v>-2.7323105899735318E-3</c:v>
                </c:pt>
                <c:pt idx="62">
                  <c:v>2.5846362017921134E-3</c:v>
                </c:pt>
                <c:pt idx="63">
                  <c:v>2.4075536664759931E-3</c:v>
                </c:pt>
                <c:pt idx="64">
                  <c:v>2.230471131159872E-3</c:v>
                </c:pt>
                <c:pt idx="65">
                  <c:v>2.0533885958437512E-3</c:v>
                </c:pt>
                <c:pt idx="66">
                  <c:v>1.8763060605276301E-3</c:v>
                </c:pt>
                <c:pt idx="67">
                  <c:v>1.6992235252115096E-3</c:v>
                </c:pt>
                <c:pt idx="68">
                  <c:v>1.5221409898953887E-3</c:v>
                </c:pt>
                <c:pt idx="69">
                  <c:v>1.345058454579268E-3</c:v>
                </c:pt>
                <c:pt idx="70">
                  <c:v>1.1679759192631475E-3</c:v>
                </c:pt>
                <c:pt idx="71">
                  <c:v>9.9089338394702637E-4</c:v>
                </c:pt>
                <c:pt idx="72">
                  <c:v>8.1381084863090599E-4</c:v>
                </c:pt>
                <c:pt idx="73">
                  <c:v>6.3672831331478507E-4</c:v>
                </c:pt>
                <c:pt idx="74">
                  <c:v>4.5964577799866436E-4</c:v>
                </c:pt>
                <c:pt idx="75">
                  <c:v>2.825632426825436E-4</c:v>
                </c:pt>
                <c:pt idx="76">
                  <c:v>1.0548070736643169E-4</c:v>
                </c:pt>
                <c:pt idx="77">
                  <c:v>-7.1601827949689054E-5</c:v>
                </c:pt>
                <c:pt idx="78">
                  <c:v>-2.4868436326580984E-4</c:v>
                </c:pt>
                <c:pt idx="79">
                  <c:v>-4.257668985819306E-4</c:v>
                </c:pt>
                <c:pt idx="80">
                  <c:v>-6.028494338980512E-4</c:v>
                </c:pt>
                <c:pt idx="81">
                  <c:v>-7.7993196921417212E-4</c:v>
                </c:pt>
                <c:pt idx="82">
                  <c:v>-9.5701450453029282E-4</c:v>
                </c:pt>
                <c:pt idx="83">
                  <c:v>-1.1340970398464136E-3</c:v>
                </c:pt>
                <c:pt idx="84">
                  <c:v>-1.3111795751625343E-3</c:v>
                </c:pt>
                <c:pt idx="85">
                  <c:v>-1.4882621104786553E-3</c:v>
                </c:pt>
                <c:pt idx="86">
                  <c:v>-1.6653446457947758E-3</c:v>
                </c:pt>
                <c:pt idx="87">
                  <c:v>-1.8424271811108967E-3</c:v>
                </c:pt>
                <c:pt idx="88">
                  <c:v>-2.0195097164270176E-3</c:v>
                </c:pt>
                <c:pt idx="89">
                  <c:v>-2.1965922517431379E-3</c:v>
                </c:pt>
                <c:pt idx="90">
                  <c:v>-2.373674787059259E-3</c:v>
                </c:pt>
                <c:pt idx="91">
                  <c:v>-2.5507573223753793E-3</c:v>
                </c:pt>
                <c:pt idx="92">
                  <c:v>-2.7278398576915E-3</c:v>
                </c:pt>
                <c:pt idx="93">
                  <c:v>2.5891069340741456E-3</c:v>
                </c:pt>
                <c:pt idx="94">
                  <c:v>2.4120243987580249E-3</c:v>
                </c:pt>
                <c:pt idx="95">
                  <c:v>2.2349418634419042E-3</c:v>
                </c:pt>
                <c:pt idx="96">
                  <c:v>2.057859328125783E-3</c:v>
                </c:pt>
                <c:pt idx="97">
                  <c:v>1.8807767928096621E-3</c:v>
                </c:pt>
                <c:pt idx="98">
                  <c:v>1.7036942574935416E-3</c:v>
                </c:pt>
                <c:pt idx="99">
                  <c:v>1.5266117221774207E-3</c:v>
                </c:pt>
                <c:pt idx="100">
                  <c:v>1.3495291868613E-3</c:v>
                </c:pt>
                <c:pt idx="101">
                  <c:v>1.1724466515451793E-3</c:v>
                </c:pt>
                <c:pt idx="102">
                  <c:v>9.9536411622905838E-4</c:v>
                </c:pt>
                <c:pt idx="103">
                  <c:v>8.1828158091293789E-4</c:v>
                </c:pt>
                <c:pt idx="104">
                  <c:v>6.4119904559681708E-4</c:v>
                </c:pt>
                <c:pt idx="105">
                  <c:v>4.6411651028069626E-4</c:v>
                </c:pt>
                <c:pt idx="106">
                  <c:v>2.8703397496457556E-4</c:v>
                </c:pt>
                <c:pt idx="107">
                  <c:v>1.0995143964846366E-4</c:v>
                </c:pt>
                <c:pt idx="108">
                  <c:v>-6.7131095667657096E-5</c:v>
                </c:pt>
                <c:pt idx="109">
                  <c:v>-2.4421363098377788E-4</c:v>
                </c:pt>
                <c:pt idx="110">
                  <c:v>-4.2129616629989859E-4</c:v>
                </c:pt>
                <c:pt idx="111">
                  <c:v>-5.9837870161601929E-4</c:v>
                </c:pt>
                <c:pt idx="112">
                  <c:v>-7.7546123693214011E-4</c:v>
                </c:pt>
                <c:pt idx="113">
                  <c:v>-9.5254377224826081E-4</c:v>
                </c:pt>
                <c:pt idx="114">
                  <c:v>-1.1296263075643816E-3</c:v>
                </c:pt>
                <c:pt idx="115">
                  <c:v>-1.3067088428805023E-3</c:v>
                </c:pt>
                <c:pt idx="116">
                  <c:v>-1.4837913781966233E-3</c:v>
                </c:pt>
                <c:pt idx="117">
                  <c:v>-1.6608739135127437E-3</c:v>
                </c:pt>
                <c:pt idx="118">
                  <c:v>-1.8379564488288647E-3</c:v>
                </c:pt>
                <c:pt idx="119">
                  <c:v>-2.0150389841449854E-3</c:v>
                </c:pt>
                <c:pt idx="120">
                  <c:v>-2.1921215194611061E-3</c:v>
                </c:pt>
                <c:pt idx="121">
                  <c:v>-2.3692040547772268E-3</c:v>
                </c:pt>
                <c:pt idx="122">
                  <c:v>-2.5462865900933475E-3</c:v>
                </c:pt>
                <c:pt idx="123">
                  <c:v>-2.7233691254094682E-3</c:v>
                </c:pt>
                <c:pt idx="124">
                  <c:v>2.5935776663561774E-3</c:v>
                </c:pt>
                <c:pt idx="125">
                  <c:v>2.4164951310400571E-3</c:v>
                </c:pt>
                <c:pt idx="126">
                  <c:v>2.239412595723936E-3</c:v>
                </c:pt>
                <c:pt idx="127">
                  <c:v>2.0623300604078153E-3</c:v>
                </c:pt>
                <c:pt idx="128">
                  <c:v>1.8852475250916941E-3</c:v>
                </c:pt>
                <c:pt idx="129">
                  <c:v>1.7081649897755736E-3</c:v>
                </c:pt>
                <c:pt idx="130">
                  <c:v>1.5310824544594527E-3</c:v>
                </c:pt>
                <c:pt idx="131">
                  <c:v>1.3539999191433318E-3</c:v>
                </c:pt>
                <c:pt idx="132">
                  <c:v>1.1769173838272113E-3</c:v>
                </c:pt>
                <c:pt idx="133">
                  <c:v>9.9983484851109039E-4</c:v>
                </c:pt>
                <c:pt idx="134">
                  <c:v>8.227523131949698E-4</c:v>
                </c:pt>
                <c:pt idx="135">
                  <c:v>6.4566977787884898E-4</c:v>
                </c:pt>
                <c:pt idx="136">
                  <c:v>4.6858724256272828E-4</c:v>
                </c:pt>
                <c:pt idx="137">
                  <c:v>2.9150470724660752E-4</c:v>
                </c:pt>
                <c:pt idx="138">
                  <c:v>1.1442217193049559E-4</c:v>
                </c:pt>
                <c:pt idx="139">
                  <c:v>-6.2660363385625139E-5</c:v>
                </c:pt>
                <c:pt idx="140">
                  <c:v>-2.397428987017459E-4</c:v>
                </c:pt>
                <c:pt idx="141">
                  <c:v>-4.1682543401786663E-4</c:v>
                </c:pt>
                <c:pt idx="142">
                  <c:v>-5.9390796933398739E-4</c:v>
                </c:pt>
                <c:pt idx="143">
                  <c:v>-7.709905046501082E-4</c:v>
                </c:pt>
                <c:pt idx="144">
                  <c:v>-9.4807303996622902E-4</c:v>
                </c:pt>
                <c:pt idx="145">
                  <c:v>-1.1251555752823496E-3</c:v>
                </c:pt>
                <c:pt idx="146">
                  <c:v>-1.3022381105984703E-3</c:v>
                </c:pt>
                <c:pt idx="147">
                  <c:v>-1.4793206459145912E-3</c:v>
                </c:pt>
                <c:pt idx="148">
                  <c:v>-1.6564031812307117E-3</c:v>
                </c:pt>
                <c:pt idx="149">
                  <c:v>-1.8334857165468329E-3</c:v>
                </c:pt>
                <c:pt idx="150">
                  <c:v>-2.0105682518629536E-3</c:v>
                </c:pt>
                <c:pt idx="151">
                  <c:v>-2.1876507871790738E-3</c:v>
                </c:pt>
                <c:pt idx="152">
                  <c:v>-2.364733322495195E-3</c:v>
                </c:pt>
                <c:pt idx="153">
                  <c:v>-2.5418158578113157E-3</c:v>
                </c:pt>
                <c:pt idx="154">
                  <c:v>-2.718898393127436E-3</c:v>
                </c:pt>
                <c:pt idx="155">
                  <c:v>2.5980483986382096E-3</c:v>
                </c:pt>
                <c:pt idx="156">
                  <c:v>2.4209658633220889E-3</c:v>
                </c:pt>
                <c:pt idx="157">
                  <c:v>2.2438833280059682E-3</c:v>
                </c:pt>
                <c:pt idx="158">
                  <c:v>2.0668007926898471E-3</c:v>
                </c:pt>
                <c:pt idx="159">
                  <c:v>1.8897182573737261E-3</c:v>
                </c:pt>
                <c:pt idx="160">
                  <c:v>1.7126357220576057E-3</c:v>
                </c:pt>
                <c:pt idx="161">
                  <c:v>1.5355531867414845E-3</c:v>
                </c:pt>
                <c:pt idx="162">
                  <c:v>1.3584706514253638E-3</c:v>
                </c:pt>
                <c:pt idx="163">
                  <c:v>1.1813881161092433E-3</c:v>
                </c:pt>
                <c:pt idx="164">
                  <c:v>1.0043055807931224E-3</c:v>
                </c:pt>
                <c:pt idx="165">
                  <c:v>8.2722304547700181E-4</c:v>
                </c:pt>
                <c:pt idx="166">
                  <c:v>6.5014051016088089E-4</c:v>
                </c:pt>
                <c:pt idx="167">
                  <c:v>4.7305797484476018E-4</c:v>
                </c:pt>
                <c:pt idx="168">
                  <c:v>2.9597543952863942E-4</c:v>
                </c:pt>
                <c:pt idx="169">
                  <c:v>1.1889290421252757E-4</c:v>
                </c:pt>
                <c:pt idx="170">
                  <c:v>-5.8189631103593194E-5</c:v>
                </c:pt>
                <c:pt idx="171">
                  <c:v>-2.3527216641971397E-4</c:v>
                </c:pt>
                <c:pt idx="172">
                  <c:v>-4.1235470173583473E-4</c:v>
                </c:pt>
                <c:pt idx="173">
                  <c:v>-5.8943723705195538E-4</c:v>
                </c:pt>
                <c:pt idx="174">
                  <c:v>-7.665197723680763E-4</c:v>
                </c:pt>
                <c:pt idx="175">
                  <c:v>-9.43602307684197E-4</c:v>
                </c:pt>
                <c:pt idx="176">
                  <c:v>-1.1206848430003176E-3</c:v>
                </c:pt>
                <c:pt idx="177">
                  <c:v>-1.2977673783164383E-3</c:v>
                </c:pt>
                <c:pt idx="178">
                  <c:v>-1.4748499136325592E-3</c:v>
                </c:pt>
                <c:pt idx="179">
                  <c:v>-1.6519324489486799E-3</c:v>
                </c:pt>
                <c:pt idx="180">
                  <c:v>-1.8290149842648009E-3</c:v>
                </c:pt>
                <c:pt idx="181">
                  <c:v>-2.0060975195809213E-3</c:v>
                </c:pt>
                <c:pt idx="182">
                  <c:v>-2.1831800548970421E-3</c:v>
                </c:pt>
                <c:pt idx="183">
                  <c:v>-2.3602625902131632E-3</c:v>
                </c:pt>
                <c:pt idx="184">
                  <c:v>-2.5373451255292835E-3</c:v>
                </c:pt>
                <c:pt idx="185">
                  <c:v>-2.7144276608454042E-3</c:v>
                </c:pt>
                <c:pt idx="186">
                  <c:v>2.602519130920241E-3</c:v>
                </c:pt>
                <c:pt idx="187">
                  <c:v>2.4254365956041207E-3</c:v>
                </c:pt>
                <c:pt idx="188">
                  <c:v>2.2483540602879996E-3</c:v>
                </c:pt>
                <c:pt idx="189">
                  <c:v>2.0712715249718784E-3</c:v>
                </c:pt>
                <c:pt idx="190">
                  <c:v>1.8941889896557582E-3</c:v>
                </c:pt>
                <c:pt idx="191">
                  <c:v>1.7171064543396375E-3</c:v>
                </c:pt>
                <c:pt idx="192">
                  <c:v>1.5400239190235165E-3</c:v>
                </c:pt>
                <c:pt idx="193">
                  <c:v>1.3629413837073958E-3</c:v>
                </c:pt>
                <c:pt idx="194">
                  <c:v>1.1858588483912753E-3</c:v>
                </c:pt>
                <c:pt idx="195">
                  <c:v>1.0087763130751544E-3</c:v>
                </c:pt>
                <c:pt idx="196">
                  <c:v>8.3169377775903371E-4</c:v>
                </c:pt>
                <c:pt idx="197">
                  <c:v>6.546112424429129E-4</c:v>
                </c:pt>
                <c:pt idx="198">
                  <c:v>4.7752870712679214E-4</c:v>
                </c:pt>
                <c:pt idx="199">
                  <c:v>3.0044617181067138E-4</c:v>
                </c:pt>
                <c:pt idx="200">
                  <c:v>1.2336363649455951E-4</c:v>
                </c:pt>
                <c:pt idx="201">
                  <c:v>-5.3718898821561236E-5</c:v>
                </c:pt>
                <c:pt idx="202">
                  <c:v>-2.3080143413768201E-4</c:v>
                </c:pt>
                <c:pt idx="203">
                  <c:v>-4.0788396945380271E-4</c:v>
                </c:pt>
                <c:pt idx="204">
                  <c:v>-5.8496650476992347E-4</c:v>
                </c:pt>
                <c:pt idx="205">
                  <c:v>-7.6204904008604429E-4</c:v>
                </c:pt>
                <c:pt idx="206">
                  <c:v>-9.3913157540216499E-4</c:v>
                </c:pt>
                <c:pt idx="207">
                  <c:v>-1.1162141107182856E-3</c:v>
                </c:pt>
                <c:pt idx="208">
                  <c:v>-1.2932966460344063E-3</c:v>
                </c:pt>
                <c:pt idx="209">
                  <c:v>-1.4703791813505274E-3</c:v>
                </c:pt>
                <c:pt idx="210">
                  <c:v>-1.6474617166666479E-3</c:v>
                </c:pt>
                <c:pt idx="211">
                  <c:v>-1.8245442519827688E-3</c:v>
                </c:pt>
                <c:pt idx="212">
                  <c:v>-2.0016267872988895E-3</c:v>
                </c:pt>
                <c:pt idx="213">
                  <c:v>-2.1787093226150107E-3</c:v>
                </c:pt>
                <c:pt idx="214">
                  <c:v>-2.3557918579311314E-3</c:v>
                </c:pt>
                <c:pt idx="215">
                  <c:v>-2.5328743932472521E-3</c:v>
                </c:pt>
                <c:pt idx="216">
                  <c:v>-2.7099569285633724E-3</c:v>
                </c:pt>
                <c:pt idx="217">
                  <c:v>2.6069898632022732E-3</c:v>
                </c:pt>
                <c:pt idx="218">
                  <c:v>2.4299073278861525E-3</c:v>
                </c:pt>
                <c:pt idx="219">
                  <c:v>2.2528247925700314E-3</c:v>
                </c:pt>
                <c:pt idx="220">
                  <c:v>2.0757422572539107E-3</c:v>
                </c:pt>
                <c:pt idx="221">
                  <c:v>1.89865972193779E-3</c:v>
                </c:pt>
                <c:pt idx="222">
                  <c:v>1.7215771866216695E-3</c:v>
                </c:pt>
                <c:pt idx="223">
                  <c:v>1.5444946513055485E-3</c:v>
                </c:pt>
                <c:pt idx="224">
                  <c:v>1.3674121159894278E-3</c:v>
                </c:pt>
                <c:pt idx="225">
                  <c:v>1.1903295806733074E-3</c:v>
                </c:pt>
                <c:pt idx="226">
                  <c:v>1.0132470453571864E-3</c:v>
                </c:pt>
                <c:pt idx="227">
                  <c:v>8.3616451004106572E-4</c:v>
                </c:pt>
                <c:pt idx="228">
                  <c:v>6.5908197472494491E-4</c:v>
                </c:pt>
                <c:pt idx="229">
                  <c:v>4.819994394088241E-4</c:v>
                </c:pt>
                <c:pt idx="230">
                  <c:v>3.0491690409270334E-4</c:v>
                </c:pt>
                <c:pt idx="231">
                  <c:v>1.2783436877659147E-4</c:v>
                </c:pt>
                <c:pt idx="232">
                  <c:v>-4.9248166539529285E-5</c:v>
                </c:pt>
                <c:pt idx="233">
                  <c:v>-2.2633070185565005E-4</c:v>
                </c:pt>
                <c:pt idx="234">
                  <c:v>-4.0341323717177081E-4</c:v>
                </c:pt>
                <c:pt idx="235">
                  <c:v>-5.8049577248789146E-4</c:v>
                </c:pt>
                <c:pt idx="236">
                  <c:v>-7.5757830780401228E-4</c:v>
                </c:pt>
                <c:pt idx="237">
                  <c:v>-9.3466084312013309E-4</c:v>
                </c:pt>
                <c:pt idx="238">
                  <c:v>-1.1117433784362536E-3</c:v>
                </c:pt>
                <c:pt idx="239">
                  <c:v>-1.2888259137523745E-3</c:v>
                </c:pt>
                <c:pt idx="240">
                  <c:v>-1.4659084490684954E-3</c:v>
                </c:pt>
                <c:pt idx="241">
                  <c:v>-1.6429909843846159E-3</c:v>
                </c:pt>
                <c:pt idx="242">
                  <c:v>-1.8200735197007368E-3</c:v>
                </c:pt>
                <c:pt idx="243">
                  <c:v>-1.9971560550168578E-3</c:v>
                </c:pt>
                <c:pt idx="244">
                  <c:v>-2.1742385903329785E-3</c:v>
                </c:pt>
                <c:pt idx="245">
                  <c:v>-2.3513211256490996E-3</c:v>
                </c:pt>
                <c:pt idx="246">
                  <c:v>-2.5284036609652199E-3</c:v>
                </c:pt>
                <c:pt idx="247">
                  <c:v>-2.7054861962813406E-3</c:v>
                </c:pt>
                <c:pt idx="248">
                  <c:v>2.611460595484305E-3</c:v>
                </c:pt>
                <c:pt idx="249">
                  <c:v>2.4343780601681843E-3</c:v>
                </c:pt>
                <c:pt idx="250">
                  <c:v>2.2572955248520636E-3</c:v>
                </c:pt>
                <c:pt idx="251">
                  <c:v>2.0802129895359425E-3</c:v>
                </c:pt>
                <c:pt idx="252">
                  <c:v>1.903130454219822E-3</c:v>
                </c:pt>
                <c:pt idx="253">
                  <c:v>1.7260479189037015E-3</c:v>
                </c:pt>
                <c:pt idx="254">
                  <c:v>1.5489653835875806E-3</c:v>
                </c:pt>
                <c:pt idx="255">
                  <c:v>1.3718828482714599E-3</c:v>
                </c:pt>
                <c:pt idx="256">
                  <c:v>1.1948003129553394E-3</c:v>
                </c:pt>
                <c:pt idx="257">
                  <c:v>1.0177177776392182E-3</c:v>
                </c:pt>
                <c:pt idx="258">
                  <c:v>8.4063524232309763E-4</c:v>
                </c:pt>
                <c:pt idx="259">
                  <c:v>6.6355270700697671E-4</c:v>
                </c:pt>
                <c:pt idx="260">
                  <c:v>4.86470171690856E-4</c:v>
                </c:pt>
                <c:pt idx="261">
                  <c:v>3.0938763637473529E-4</c:v>
                </c:pt>
                <c:pt idx="262">
                  <c:v>1.3230510105862343E-4</c:v>
                </c:pt>
                <c:pt idx="263">
                  <c:v>-4.4777434257497334E-5</c:v>
                </c:pt>
                <c:pt idx="264">
                  <c:v>-2.2185996957361809E-4</c:v>
                </c:pt>
                <c:pt idx="265">
                  <c:v>-3.9894250488973885E-4</c:v>
                </c:pt>
                <c:pt idx="266">
                  <c:v>-5.7602504020585956E-4</c:v>
                </c:pt>
                <c:pt idx="267">
                  <c:v>-7.5310757552198048E-4</c:v>
                </c:pt>
                <c:pt idx="268">
                  <c:v>-9.3019011083810119E-4</c:v>
                </c:pt>
                <c:pt idx="269">
                  <c:v>-1.1072726461542218E-3</c:v>
                </c:pt>
                <c:pt idx="270">
                  <c:v>-1.2843551814703425E-3</c:v>
                </c:pt>
                <c:pt idx="271">
                  <c:v>-1.4614377167864634E-3</c:v>
                </c:pt>
                <c:pt idx="272">
                  <c:v>-1.6385202521025839E-3</c:v>
                </c:pt>
                <c:pt idx="273">
                  <c:v>-1.8156027874187048E-3</c:v>
                </c:pt>
                <c:pt idx="274">
                  <c:v>-1.9926853227348255E-3</c:v>
                </c:pt>
                <c:pt idx="275">
                  <c:v>-2.1697678580509467E-3</c:v>
                </c:pt>
                <c:pt idx="276">
                  <c:v>-2.3468503933670674E-3</c:v>
                </c:pt>
                <c:pt idx="277">
                  <c:v>-2.5239329286831881E-3</c:v>
                </c:pt>
                <c:pt idx="278">
                  <c:v>-2.7010154639993088E-3</c:v>
                </c:pt>
                <c:pt idx="279">
                  <c:v>2.6159313277663368E-3</c:v>
                </c:pt>
                <c:pt idx="280">
                  <c:v>2.4388487924502165E-3</c:v>
                </c:pt>
                <c:pt idx="281">
                  <c:v>2.2617662571340954E-3</c:v>
                </c:pt>
                <c:pt idx="282">
                  <c:v>2.0846837218179747E-3</c:v>
                </c:pt>
                <c:pt idx="283">
                  <c:v>1.907601186501854E-3</c:v>
                </c:pt>
                <c:pt idx="284">
                  <c:v>1.7305186511857335E-3</c:v>
                </c:pt>
                <c:pt idx="285">
                  <c:v>1.5534361158696126E-3</c:v>
                </c:pt>
                <c:pt idx="286">
                  <c:v>1.3763535805534919E-3</c:v>
                </c:pt>
                <c:pt idx="287">
                  <c:v>1.1992710452373712E-3</c:v>
                </c:pt>
                <c:pt idx="288">
                  <c:v>1.0221885099212502E-3</c:v>
                </c:pt>
                <c:pt idx="289">
                  <c:v>8.4510597460512953E-4</c:v>
                </c:pt>
                <c:pt idx="290">
                  <c:v>6.6802343928900872E-4</c:v>
                </c:pt>
                <c:pt idx="291">
                  <c:v>4.9094090397288801E-4</c:v>
                </c:pt>
                <c:pt idx="292">
                  <c:v>3.1385836865676725E-4</c:v>
                </c:pt>
                <c:pt idx="293">
                  <c:v>1.3677583334065536E-4</c:v>
                </c:pt>
                <c:pt idx="294">
                  <c:v>-4.0306701975465376E-5</c:v>
                </c:pt>
                <c:pt idx="295">
                  <c:v>-2.1738923729158614E-4</c:v>
                </c:pt>
                <c:pt idx="296">
                  <c:v>-3.9447177260770684E-4</c:v>
                </c:pt>
                <c:pt idx="297">
                  <c:v>-5.7155430792382765E-4</c:v>
                </c:pt>
                <c:pt idx="298">
                  <c:v>-7.4863684323994847E-4</c:v>
                </c:pt>
                <c:pt idx="299">
                  <c:v>-9.2571937855606917E-4</c:v>
                </c:pt>
                <c:pt idx="300">
                  <c:v>-1.1028019138721898E-3</c:v>
                </c:pt>
                <c:pt idx="301">
                  <c:v>-1.2798844491883105E-3</c:v>
                </c:pt>
                <c:pt idx="302">
                  <c:v>-1.4569669845044314E-3</c:v>
                </c:pt>
                <c:pt idx="303">
                  <c:v>-1.6340495198205519E-3</c:v>
                </c:pt>
                <c:pt idx="304">
                  <c:v>-1.8111320551366728E-3</c:v>
                </c:pt>
                <c:pt idx="305">
                  <c:v>-1.9882145904527937E-3</c:v>
                </c:pt>
                <c:pt idx="306">
                  <c:v>-2.1652971257689144E-3</c:v>
                </c:pt>
                <c:pt idx="307">
                  <c:v>-2.3423796610850356E-3</c:v>
                </c:pt>
                <c:pt idx="308">
                  <c:v>-2.5194621964011563E-3</c:v>
                </c:pt>
                <c:pt idx="309">
                  <c:v>-2.6965447317172766E-3</c:v>
                </c:pt>
                <c:pt idx="310">
                  <c:v>2.620402060048369E-3</c:v>
                </c:pt>
                <c:pt idx="311">
                  <c:v>2.4433195247322483E-3</c:v>
                </c:pt>
                <c:pt idx="312">
                  <c:v>2.2662369894161276E-3</c:v>
                </c:pt>
                <c:pt idx="313">
                  <c:v>2.0891544541000065E-3</c:v>
                </c:pt>
                <c:pt idx="314">
                  <c:v>1.912071918783886E-3</c:v>
                </c:pt>
                <c:pt idx="315">
                  <c:v>1.7349893834677655E-3</c:v>
                </c:pt>
                <c:pt idx="316">
                  <c:v>1.5579068481516446E-3</c:v>
                </c:pt>
                <c:pt idx="317">
                  <c:v>1.3808243128355237E-3</c:v>
                </c:pt>
                <c:pt idx="318">
                  <c:v>1.2037417775194032E-3</c:v>
                </c:pt>
                <c:pt idx="319">
                  <c:v>1.0266592422032822E-3</c:v>
                </c:pt>
                <c:pt idx="320">
                  <c:v>8.4957670688716154E-4</c:v>
                </c:pt>
                <c:pt idx="321">
                  <c:v>6.7249417157104073E-4</c:v>
                </c:pt>
                <c:pt idx="322">
                  <c:v>4.9541163625491992E-4</c:v>
                </c:pt>
                <c:pt idx="323">
                  <c:v>3.1832910093879921E-4</c:v>
                </c:pt>
                <c:pt idx="324">
                  <c:v>1.4124656562268731E-4</c:v>
                </c:pt>
                <c:pt idx="325">
                  <c:v>-3.5835969693433432E-5</c:v>
                </c:pt>
                <c:pt idx="326">
                  <c:v>-2.129185050095542E-4</c:v>
                </c:pt>
                <c:pt idx="327">
                  <c:v>-3.9000104032567494E-4</c:v>
                </c:pt>
                <c:pt idx="328">
                  <c:v>-5.6708357564179564E-4</c:v>
                </c:pt>
                <c:pt idx="329">
                  <c:v>-7.4416611095791646E-4</c:v>
                </c:pt>
                <c:pt idx="330">
                  <c:v>-9.2124864627403727E-4</c:v>
                </c:pt>
                <c:pt idx="331">
                  <c:v>-1.0983311815901578E-3</c:v>
                </c:pt>
                <c:pt idx="332">
                  <c:v>-1.2754137169062785E-3</c:v>
                </c:pt>
                <c:pt idx="333">
                  <c:v>-1.4524962522223994E-3</c:v>
                </c:pt>
                <c:pt idx="334">
                  <c:v>-1.6295787875385199E-3</c:v>
                </c:pt>
                <c:pt idx="335">
                  <c:v>-1.806661322854641E-3</c:v>
                </c:pt>
                <c:pt idx="336">
                  <c:v>-1.9837438581707615E-3</c:v>
                </c:pt>
                <c:pt idx="337">
                  <c:v>-2.1608263934868826E-3</c:v>
                </c:pt>
                <c:pt idx="338">
                  <c:v>-2.3379089288030038E-3</c:v>
                </c:pt>
                <c:pt idx="339">
                  <c:v>-2.5149914641191241E-3</c:v>
                </c:pt>
                <c:pt idx="340">
                  <c:v>-2.6920739994352448E-3</c:v>
                </c:pt>
                <c:pt idx="341">
                  <c:v>2.6248727923304008E-3</c:v>
                </c:pt>
                <c:pt idx="342">
                  <c:v>2.4477902570142806E-3</c:v>
                </c:pt>
                <c:pt idx="343">
                  <c:v>2.2707077216981594E-3</c:v>
                </c:pt>
                <c:pt idx="344">
                  <c:v>2.0936251863820383E-3</c:v>
                </c:pt>
                <c:pt idx="345">
                  <c:v>1.9165426510659178E-3</c:v>
                </c:pt>
                <c:pt idx="346">
                  <c:v>1.7394601157497973E-3</c:v>
                </c:pt>
                <c:pt idx="347">
                  <c:v>1.5623775804336762E-3</c:v>
                </c:pt>
                <c:pt idx="348">
                  <c:v>1.3852950451175555E-3</c:v>
                </c:pt>
                <c:pt idx="349">
                  <c:v>1.208212509801435E-3</c:v>
                </c:pt>
                <c:pt idx="350">
                  <c:v>1.031129974485314E-3</c:v>
                </c:pt>
                <c:pt idx="351">
                  <c:v>8.5404743916919356E-4</c:v>
                </c:pt>
                <c:pt idx="352">
                  <c:v>6.7696490385307263E-4</c:v>
                </c:pt>
                <c:pt idx="353">
                  <c:v>4.9988236853695193E-4</c:v>
                </c:pt>
                <c:pt idx="354">
                  <c:v>3.2279983322083117E-4</c:v>
                </c:pt>
                <c:pt idx="355">
                  <c:v>1.4571729790471925E-4</c:v>
                </c:pt>
                <c:pt idx="356">
                  <c:v>-3.1365237411401474E-5</c:v>
                </c:pt>
                <c:pt idx="357">
                  <c:v>-2.0844777272752225E-4</c:v>
                </c:pt>
                <c:pt idx="358">
                  <c:v>-3.8553030804364298E-4</c:v>
                </c:pt>
                <c:pt idx="359">
                  <c:v>-5.6261284335976363E-4</c:v>
                </c:pt>
                <c:pt idx="360">
                  <c:v>-7.3969537867588455E-4</c:v>
                </c:pt>
                <c:pt idx="361">
                  <c:v>-9.1677791399200526E-4</c:v>
                </c:pt>
                <c:pt idx="362">
                  <c:v>-1.093860449308126E-3</c:v>
                </c:pt>
                <c:pt idx="363">
                  <c:v>-1.2709429846242467E-3</c:v>
                </c:pt>
                <c:pt idx="364">
                  <c:v>-1.4480255199403676E-3</c:v>
                </c:pt>
                <c:pt idx="365">
                  <c:v>-1.6251080552564883E-3</c:v>
                </c:pt>
                <c:pt idx="366">
                  <c:v>-1.8021905905726092E-3</c:v>
                </c:pt>
                <c:pt idx="367">
                  <c:v>-1.9792731258887297E-3</c:v>
                </c:pt>
                <c:pt idx="368">
                  <c:v>-2.1563556612048508E-3</c:v>
                </c:pt>
                <c:pt idx="369">
                  <c:v>-2.3334381965209715E-3</c:v>
                </c:pt>
                <c:pt idx="370">
                  <c:v>-2.5105207318370923E-3</c:v>
                </c:pt>
                <c:pt idx="371">
                  <c:v>-2.6876032671532125E-3</c:v>
                </c:pt>
                <c:pt idx="372">
                  <c:v>2.6293435246124331E-3</c:v>
                </c:pt>
                <c:pt idx="373">
                  <c:v>2.4522609892963123E-3</c:v>
                </c:pt>
                <c:pt idx="374">
                  <c:v>2.2751784539801912E-3</c:v>
                </c:pt>
                <c:pt idx="375">
                  <c:v>2.0980959186640705E-3</c:v>
                </c:pt>
                <c:pt idx="376">
                  <c:v>1.9210133833479498E-3</c:v>
                </c:pt>
                <c:pt idx="377">
                  <c:v>1.7439308480318291E-3</c:v>
                </c:pt>
                <c:pt idx="378">
                  <c:v>1.5668483127157082E-3</c:v>
                </c:pt>
                <c:pt idx="379">
                  <c:v>1.3897657773995875E-3</c:v>
                </c:pt>
                <c:pt idx="380">
                  <c:v>1.212683242083467E-3</c:v>
                </c:pt>
                <c:pt idx="381">
                  <c:v>1.0356007067673461E-3</c:v>
                </c:pt>
                <c:pt idx="382">
                  <c:v>8.5851817145122546E-4</c:v>
                </c:pt>
                <c:pt idx="383">
                  <c:v>6.8143563613510465E-4</c:v>
                </c:pt>
                <c:pt idx="384">
                  <c:v>5.0435310081898394E-4</c:v>
                </c:pt>
                <c:pt idx="385">
                  <c:v>3.2727056550286307E-4</c:v>
                </c:pt>
                <c:pt idx="386">
                  <c:v>1.5018803018675123E-4</c:v>
                </c:pt>
                <c:pt idx="387">
                  <c:v>-2.6894505129369522E-5</c:v>
                </c:pt>
                <c:pt idx="388">
                  <c:v>-2.0397704044549026E-4</c:v>
                </c:pt>
                <c:pt idx="389">
                  <c:v>-3.8105957576161102E-4</c:v>
                </c:pt>
                <c:pt idx="390">
                  <c:v>-5.5814211107773173E-4</c:v>
                </c:pt>
                <c:pt idx="391">
                  <c:v>-7.3522464639385254E-4</c:v>
                </c:pt>
                <c:pt idx="392">
                  <c:v>-9.1230718170997325E-4</c:v>
                </c:pt>
                <c:pt idx="393">
                  <c:v>-1.089389717026094E-3</c:v>
                </c:pt>
                <c:pt idx="394">
                  <c:v>-1.2664722523422147E-3</c:v>
                </c:pt>
                <c:pt idx="395">
                  <c:v>-1.4435547876583358E-3</c:v>
                </c:pt>
                <c:pt idx="396">
                  <c:v>-1.6206373229744563E-3</c:v>
                </c:pt>
                <c:pt idx="397">
                  <c:v>-1.7977198582905772E-3</c:v>
                </c:pt>
                <c:pt idx="398">
                  <c:v>-1.9748023936066979E-3</c:v>
                </c:pt>
                <c:pt idx="399">
                  <c:v>-2.1518849289228186E-3</c:v>
                </c:pt>
                <c:pt idx="400">
                  <c:v>-2.3289674642389398E-3</c:v>
                </c:pt>
                <c:pt idx="401">
                  <c:v>-2.50604999955506E-3</c:v>
                </c:pt>
                <c:pt idx="402">
                  <c:v>-2.6831325348711807E-3</c:v>
                </c:pt>
                <c:pt idx="403">
                  <c:v>2.6338142568944648E-3</c:v>
                </c:pt>
                <c:pt idx="404">
                  <c:v>2.4567317215783441E-3</c:v>
                </c:pt>
                <c:pt idx="405">
                  <c:v>2.2796491862622234E-3</c:v>
                </c:pt>
                <c:pt idx="406">
                  <c:v>2.1025666509461023E-3</c:v>
                </c:pt>
                <c:pt idx="407">
                  <c:v>1.9254841156299816E-3</c:v>
                </c:pt>
                <c:pt idx="408">
                  <c:v>1.7484015803138611E-3</c:v>
                </c:pt>
                <c:pt idx="409">
                  <c:v>1.5713190449977402E-3</c:v>
                </c:pt>
                <c:pt idx="410">
                  <c:v>1.3942365096816195E-3</c:v>
                </c:pt>
                <c:pt idx="411">
                  <c:v>1.217153974365499E-3</c:v>
                </c:pt>
                <c:pt idx="412">
                  <c:v>1.0400714390493781E-3</c:v>
                </c:pt>
                <c:pt idx="413">
                  <c:v>8.6298890373325736E-4</c:v>
                </c:pt>
                <c:pt idx="414">
                  <c:v>6.8590636841713655E-4</c:v>
                </c:pt>
                <c:pt idx="415">
                  <c:v>5.0882383310101574E-4</c:v>
                </c:pt>
                <c:pt idx="416">
                  <c:v>3.3174129778489508E-4</c:v>
                </c:pt>
                <c:pt idx="417">
                  <c:v>1.5465876246878319E-4</c:v>
                </c:pt>
                <c:pt idx="418">
                  <c:v>-2.2423772847337571E-5</c:v>
                </c:pt>
                <c:pt idx="419">
                  <c:v>-1.9950630816345833E-4</c:v>
                </c:pt>
                <c:pt idx="420">
                  <c:v>-3.7658884347957906E-4</c:v>
                </c:pt>
                <c:pt idx="421">
                  <c:v>-5.5367137879569982E-4</c:v>
                </c:pt>
                <c:pt idx="422">
                  <c:v>-7.3075391411182064E-4</c:v>
                </c:pt>
                <c:pt idx="423">
                  <c:v>-9.0783644942794145E-4</c:v>
                </c:pt>
                <c:pt idx="424">
                  <c:v>-1.0849189847440619E-3</c:v>
                </c:pt>
                <c:pt idx="425">
                  <c:v>-1.2620015200601829E-3</c:v>
                </c:pt>
                <c:pt idx="426">
                  <c:v>-1.4390840553763038E-3</c:v>
                </c:pt>
                <c:pt idx="427">
                  <c:v>-1.6161665906924243E-3</c:v>
                </c:pt>
                <c:pt idx="428">
                  <c:v>-1.7932491260085452E-3</c:v>
                </c:pt>
                <c:pt idx="429">
                  <c:v>-1.9703316613246657E-3</c:v>
                </c:pt>
                <c:pt idx="430">
                  <c:v>-2.1474141966407868E-3</c:v>
                </c:pt>
                <c:pt idx="431">
                  <c:v>-2.3244967319569075E-3</c:v>
                </c:pt>
                <c:pt idx="432">
                  <c:v>-2.5015792672730282E-3</c:v>
                </c:pt>
                <c:pt idx="433">
                  <c:v>-2.6786618025891485E-3</c:v>
                </c:pt>
                <c:pt idx="434">
                  <c:v>2.6382849891764966E-3</c:v>
                </c:pt>
                <c:pt idx="435">
                  <c:v>2.4612024538603764E-3</c:v>
                </c:pt>
                <c:pt idx="436">
                  <c:v>2.2841199185442552E-3</c:v>
                </c:pt>
                <c:pt idx="437">
                  <c:v>2.1070373832281345E-3</c:v>
                </c:pt>
                <c:pt idx="438">
                  <c:v>1.9299548479120134E-3</c:v>
                </c:pt>
                <c:pt idx="439">
                  <c:v>1.7528723125958929E-3</c:v>
                </c:pt>
                <c:pt idx="440">
                  <c:v>1.575789777279772E-3</c:v>
                </c:pt>
                <c:pt idx="441">
                  <c:v>1.3987072419636513E-3</c:v>
                </c:pt>
                <c:pt idx="442">
                  <c:v>1.2216247066475308E-3</c:v>
                </c:pt>
                <c:pt idx="443">
                  <c:v>1.0445421713314096E-3</c:v>
                </c:pt>
                <c:pt idx="444">
                  <c:v>8.6745963601528905E-4</c:v>
                </c:pt>
                <c:pt idx="445">
                  <c:v>6.9037710069916824E-4</c:v>
                </c:pt>
                <c:pt idx="446">
                  <c:v>5.1329456538304753E-4</c:v>
                </c:pt>
                <c:pt idx="447">
                  <c:v>3.3621203006692683E-4</c:v>
                </c:pt>
                <c:pt idx="448">
                  <c:v>1.591294947508149E-4</c:v>
                </c:pt>
                <c:pt idx="449">
                  <c:v>-1.7953040565305837E-5</c:v>
                </c:pt>
                <c:pt idx="450">
                  <c:v>-1.9503557588142662E-4</c:v>
                </c:pt>
                <c:pt idx="451">
                  <c:v>-3.7211811119754732E-4</c:v>
                </c:pt>
                <c:pt idx="452">
                  <c:v>-5.4920064651366803E-4</c:v>
                </c:pt>
                <c:pt idx="453">
                  <c:v>-7.2628318182978895E-4</c:v>
                </c:pt>
                <c:pt idx="454">
                  <c:v>-9.0336571714590965E-4</c:v>
                </c:pt>
                <c:pt idx="455">
                  <c:v>-1.0804482524620304E-3</c:v>
                </c:pt>
                <c:pt idx="456">
                  <c:v>-1.2575307877781511E-3</c:v>
                </c:pt>
                <c:pt idx="457">
                  <c:v>-1.434613323094272E-3</c:v>
                </c:pt>
                <c:pt idx="458">
                  <c:v>-1.6116958584103925E-3</c:v>
                </c:pt>
                <c:pt idx="459">
                  <c:v>-1.7887783937265134E-3</c:v>
                </c:pt>
                <c:pt idx="460">
                  <c:v>-1.9658609290426343E-3</c:v>
                </c:pt>
                <c:pt idx="461">
                  <c:v>-2.1429434643587546E-3</c:v>
                </c:pt>
                <c:pt idx="462">
                  <c:v>-2.3200259996748757E-3</c:v>
                </c:pt>
                <c:pt idx="463">
                  <c:v>-2.497108534990996E-3</c:v>
                </c:pt>
                <c:pt idx="464">
                  <c:v>-2.6741910703071167E-3</c:v>
                </c:pt>
                <c:pt idx="465">
                  <c:v>2.6427557214585289E-3</c:v>
                </c:pt>
                <c:pt idx="466">
                  <c:v>2.4656731861424082E-3</c:v>
                </c:pt>
                <c:pt idx="467">
                  <c:v>2.2885906508262875E-3</c:v>
                </c:pt>
                <c:pt idx="468">
                  <c:v>2.1115081155101663E-3</c:v>
                </c:pt>
                <c:pt idx="469">
                  <c:v>1.9344255801940454E-3</c:v>
                </c:pt>
                <c:pt idx="470">
                  <c:v>1.7573430448779249E-3</c:v>
                </c:pt>
                <c:pt idx="471">
                  <c:v>1.580260509561804E-3</c:v>
                </c:pt>
                <c:pt idx="472">
                  <c:v>1.4031779742456833E-3</c:v>
                </c:pt>
                <c:pt idx="473">
                  <c:v>1.2260954389295626E-3</c:v>
                </c:pt>
                <c:pt idx="474">
                  <c:v>1.0490129036134417E-3</c:v>
                </c:pt>
                <c:pt idx="475">
                  <c:v>8.7193036829732106E-4</c:v>
                </c:pt>
                <c:pt idx="476">
                  <c:v>6.9484783298120025E-4</c:v>
                </c:pt>
                <c:pt idx="477">
                  <c:v>5.1776529766507943E-4</c:v>
                </c:pt>
                <c:pt idx="478">
                  <c:v>3.4068276234895873E-4</c:v>
                </c:pt>
                <c:pt idx="479">
                  <c:v>1.6360022703284686E-4</c:v>
                </c:pt>
                <c:pt idx="480">
                  <c:v>-1.3482308283273889E-5</c:v>
                </c:pt>
                <c:pt idx="481">
                  <c:v>-1.9056484359939466E-4</c:v>
                </c:pt>
                <c:pt idx="482">
                  <c:v>-3.6764737891551542E-4</c:v>
                </c:pt>
                <c:pt idx="483">
                  <c:v>-5.4472991423163612E-4</c:v>
                </c:pt>
                <c:pt idx="484">
                  <c:v>-7.2181244954775694E-4</c:v>
                </c:pt>
                <c:pt idx="485">
                  <c:v>-8.9889498486387764E-4</c:v>
                </c:pt>
                <c:pt idx="486">
                  <c:v>-1.0759775201799983E-3</c:v>
                </c:pt>
                <c:pt idx="487">
                  <c:v>-1.2530600554961191E-3</c:v>
                </c:pt>
                <c:pt idx="488">
                  <c:v>-1.43014259081224E-3</c:v>
                </c:pt>
                <c:pt idx="489">
                  <c:v>-1.6072251261283605E-3</c:v>
                </c:pt>
                <c:pt idx="490">
                  <c:v>-1.7843076614444814E-3</c:v>
                </c:pt>
                <c:pt idx="491">
                  <c:v>-1.9613901967606021E-3</c:v>
                </c:pt>
                <c:pt idx="492">
                  <c:v>-2.1384727320767228E-3</c:v>
                </c:pt>
                <c:pt idx="493">
                  <c:v>-2.3155552673928435E-3</c:v>
                </c:pt>
                <c:pt idx="494">
                  <c:v>-2.4926378027089642E-3</c:v>
                </c:pt>
                <c:pt idx="495">
                  <c:v>-2.6697203380250849E-3</c:v>
                </c:pt>
                <c:pt idx="496">
                  <c:v>2.6472264537405602E-3</c:v>
                </c:pt>
                <c:pt idx="497">
                  <c:v>2.47014391842444E-3</c:v>
                </c:pt>
                <c:pt idx="498">
                  <c:v>2.2930613831083188E-3</c:v>
                </c:pt>
                <c:pt idx="499">
                  <c:v>2.1159788477921981E-3</c:v>
                </c:pt>
                <c:pt idx="500">
                  <c:v>1.9388963124760774E-3</c:v>
                </c:pt>
                <c:pt idx="501">
                  <c:v>1.7618137771599569E-3</c:v>
                </c:pt>
                <c:pt idx="502">
                  <c:v>1.584731241843836E-3</c:v>
                </c:pt>
                <c:pt idx="503">
                  <c:v>1.4076487065277151E-3</c:v>
                </c:pt>
                <c:pt idx="504">
                  <c:v>1.2305661712115946E-3</c:v>
                </c:pt>
                <c:pt idx="505">
                  <c:v>1.0534836358954737E-3</c:v>
                </c:pt>
                <c:pt idx="506">
                  <c:v>8.7640110057935307E-4</c:v>
                </c:pt>
                <c:pt idx="507">
                  <c:v>6.9931856526323215E-4</c:v>
                </c:pt>
                <c:pt idx="508">
                  <c:v>5.2223602994711145E-4</c:v>
                </c:pt>
                <c:pt idx="509">
                  <c:v>3.4515349463099074E-4</c:v>
                </c:pt>
                <c:pt idx="510">
                  <c:v>1.6807095931487879E-4</c:v>
                </c:pt>
                <c:pt idx="511">
                  <c:v>-9.0115760012419328E-6</c:v>
                </c:pt>
                <c:pt idx="512">
                  <c:v>-1.860941113173627E-4</c:v>
                </c:pt>
                <c:pt idx="513">
                  <c:v>-3.6317664663348341E-4</c:v>
                </c:pt>
                <c:pt idx="514">
                  <c:v>-5.4025918194960411E-4</c:v>
                </c:pt>
                <c:pt idx="515">
                  <c:v>-7.1734171726572492E-4</c:v>
                </c:pt>
                <c:pt idx="516">
                  <c:v>-8.9442425258184574E-4</c:v>
                </c:pt>
                <c:pt idx="517">
                  <c:v>-1.0715067878979663E-3</c:v>
                </c:pt>
                <c:pt idx="518">
                  <c:v>-1.248589323214087E-3</c:v>
                </c:pt>
                <c:pt idx="519">
                  <c:v>-1.425671858530208E-3</c:v>
                </c:pt>
                <c:pt idx="520">
                  <c:v>-1.6027543938463285E-3</c:v>
                </c:pt>
                <c:pt idx="521">
                  <c:v>-1.7798369291624496E-3</c:v>
                </c:pt>
                <c:pt idx="522">
                  <c:v>-1.9569194644785703E-3</c:v>
                </c:pt>
                <c:pt idx="523">
                  <c:v>-2.134001999794691E-3</c:v>
                </c:pt>
                <c:pt idx="524">
                  <c:v>-2.3110845351108121E-3</c:v>
                </c:pt>
                <c:pt idx="525">
                  <c:v>-2.4881670704269328E-3</c:v>
                </c:pt>
                <c:pt idx="526">
                  <c:v>-2.6652496057430531E-3</c:v>
                </c:pt>
                <c:pt idx="527">
                  <c:v>2.6516971860225925E-3</c:v>
                </c:pt>
                <c:pt idx="528">
                  <c:v>2.4746146507064718E-3</c:v>
                </c:pt>
                <c:pt idx="529">
                  <c:v>2.2975321153903511E-3</c:v>
                </c:pt>
                <c:pt idx="530">
                  <c:v>2.1204495800742299E-3</c:v>
                </c:pt>
                <c:pt idx="531">
                  <c:v>1.9433670447581094E-3</c:v>
                </c:pt>
                <c:pt idx="532">
                  <c:v>1.7662845094419889E-3</c:v>
                </c:pt>
                <c:pt idx="533">
                  <c:v>1.5892019741258678E-3</c:v>
                </c:pt>
                <c:pt idx="534">
                  <c:v>1.4121194388097471E-3</c:v>
                </c:pt>
                <c:pt idx="535">
                  <c:v>1.2350369034936266E-3</c:v>
                </c:pt>
                <c:pt idx="536">
                  <c:v>1.0579543681775057E-3</c:v>
                </c:pt>
                <c:pt idx="537">
                  <c:v>8.8087183286138498E-4</c:v>
                </c:pt>
                <c:pt idx="538">
                  <c:v>7.0378929754526416E-4</c:v>
                </c:pt>
                <c:pt idx="539">
                  <c:v>5.2670676222914346E-4</c:v>
                </c:pt>
                <c:pt idx="540">
                  <c:v>3.4962422691302265E-4</c:v>
                </c:pt>
                <c:pt idx="541">
                  <c:v>1.7254169159691078E-4</c:v>
                </c:pt>
                <c:pt idx="542">
                  <c:v>-4.54084371920998E-6</c:v>
                </c:pt>
                <c:pt idx="543">
                  <c:v>-1.8162337903533074E-4</c:v>
                </c:pt>
                <c:pt idx="544">
                  <c:v>-3.587059143514515E-4</c:v>
                </c:pt>
                <c:pt idx="545">
                  <c:v>-5.357884496675721E-4</c:v>
                </c:pt>
                <c:pt idx="546">
                  <c:v>-7.1287098498369302E-4</c:v>
                </c:pt>
                <c:pt idx="547">
                  <c:v>-8.8995352029981373E-4</c:v>
                </c:pt>
                <c:pt idx="548">
                  <c:v>-1.0670360556159343E-3</c:v>
                </c:pt>
                <c:pt idx="549">
                  <c:v>-1.244118590932055E-3</c:v>
                </c:pt>
                <c:pt idx="550">
                  <c:v>-1.421201126248176E-3</c:v>
                </c:pt>
                <c:pt idx="551">
                  <c:v>-1.5982836615642967E-3</c:v>
                </c:pt>
                <c:pt idx="552">
                  <c:v>-1.7753661968804176E-3</c:v>
                </c:pt>
                <c:pt idx="553">
                  <c:v>-1.9524487321965383E-3</c:v>
                </c:pt>
                <c:pt idx="554">
                  <c:v>-2.1295312675126592E-3</c:v>
                </c:pt>
                <c:pt idx="555">
                  <c:v>-2.3066138028287803E-3</c:v>
                </c:pt>
                <c:pt idx="556">
                  <c:v>-2.4836963381449006E-3</c:v>
                </c:pt>
                <c:pt idx="557">
                  <c:v>-2.6607788734610213E-3</c:v>
                </c:pt>
                <c:pt idx="558">
                  <c:v>2.6561679183046243E-3</c:v>
                </c:pt>
                <c:pt idx="559">
                  <c:v>2.479085382988504E-3</c:v>
                </c:pt>
                <c:pt idx="560">
                  <c:v>2.3020028476723828E-3</c:v>
                </c:pt>
                <c:pt idx="561">
                  <c:v>2.1249203123562617E-3</c:v>
                </c:pt>
                <c:pt idx="562">
                  <c:v>1.9478377770401414E-3</c:v>
                </c:pt>
                <c:pt idx="563">
                  <c:v>1.7707552417240207E-3</c:v>
                </c:pt>
                <c:pt idx="564">
                  <c:v>1.5936727064078998E-3</c:v>
                </c:pt>
                <c:pt idx="565">
                  <c:v>1.4165901710917791E-3</c:v>
                </c:pt>
                <c:pt idx="566">
                  <c:v>1.2395076357756586E-3</c:v>
                </c:pt>
                <c:pt idx="567">
                  <c:v>1.0624251004595377E-3</c:v>
                </c:pt>
                <c:pt idx="568">
                  <c:v>8.8534256514341688E-4</c:v>
                </c:pt>
                <c:pt idx="569">
                  <c:v>7.0826002982729607E-4</c:v>
                </c:pt>
                <c:pt idx="570">
                  <c:v>5.3117749451117525E-4</c:v>
                </c:pt>
                <c:pt idx="571">
                  <c:v>3.540949591950546E-4</c:v>
                </c:pt>
                <c:pt idx="572">
                  <c:v>1.7701242387894273E-4</c:v>
                </c:pt>
                <c:pt idx="573">
                  <c:v>-7.0111437178028811E-8</c:v>
                </c:pt>
                <c:pt idx="574">
                  <c:v>-1.7715264675329878E-4</c:v>
                </c:pt>
                <c:pt idx="575">
                  <c:v>-3.5423518206941954E-4</c:v>
                </c:pt>
                <c:pt idx="576">
                  <c:v>-5.313177173855403E-4</c:v>
                </c:pt>
                <c:pt idx="577">
                  <c:v>-7.0840025270166112E-4</c:v>
                </c:pt>
                <c:pt idx="578">
                  <c:v>-8.8548278801778182E-4</c:v>
                </c:pt>
                <c:pt idx="579">
                  <c:v>-1.0625653233339023E-3</c:v>
                </c:pt>
                <c:pt idx="580">
                  <c:v>-1.239647858650023E-3</c:v>
                </c:pt>
                <c:pt idx="581">
                  <c:v>-1.4167303939661442E-3</c:v>
                </c:pt>
                <c:pt idx="582">
                  <c:v>-1.5938129292822646E-3</c:v>
                </c:pt>
                <c:pt idx="583">
                  <c:v>-1.7708954645983856E-3</c:v>
                </c:pt>
                <c:pt idx="584">
                  <c:v>-1.9479779999145063E-3</c:v>
                </c:pt>
                <c:pt idx="585">
                  <c:v>-2.1250605352306274E-3</c:v>
                </c:pt>
                <c:pt idx="586">
                  <c:v>-2.3021430705467481E-3</c:v>
                </c:pt>
                <c:pt idx="587">
                  <c:v>-2.4792256058628688E-3</c:v>
                </c:pt>
                <c:pt idx="588">
                  <c:v>-2.6563081411789891E-3</c:v>
                </c:pt>
                <c:pt idx="589">
                  <c:v>2.6606386505866565E-3</c:v>
                </c:pt>
                <c:pt idx="590">
                  <c:v>2.4835561152705358E-3</c:v>
                </c:pt>
                <c:pt idx="591">
                  <c:v>2.3064735799544146E-3</c:v>
                </c:pt>
                <c:pt idx="592">
                  <c:v>2.1293910446382939E-3</c:v>
                </c:pt>
                <c:pt idx="593">
                  <c:v>1.9523085093221732E-3</c:v>
                </c:pt>
                <c:pt idx="594">
                  <c:v>1.7752259740060527E-3</c:v>
                </c:pt>
                <c:pt idx="595">
                  <c:v>1.5981434386899318E-3</c:v>
                </c:pt>
                <c:pt idx="596">
                  <c:v>1.4210609033738111E-3</c:v>
                </c:pt>
                <c:pt idx="597">
                  <c:v>1.2439783680576906E-3</c:v>
                </c:pt>
                <c:pt idx="598">
                  <c:v>1.0668958327415697E-3</c:v>
                </c:pt>
                <c:pt idx="599">
                  <c:v>8.8981329742544889E-4</c:v>
                </c:pt>
                <c:pt idx="600">
                  <c:v>7.1273076210932797E-4</c:v>
                </c:pt>
                <c:pt idx="601">
                  <c:v>5.3564822679320727E-4</c:v>
                </c:pt>
                <c:pt idx="602">
                  <c:v>3.5856569147708656E-4</c:v>
                </c:pt>
                <c:pt idx="603">
                  <c:v>1.8148315616097466E-4</c:v>
                </c:pt>
                <c:pt idx="604">
                  <c:v>4.4006208448539257E-6</c:v>
                </c:pt>
                <c:pt idx="605">
                  <c:v>-1.7268191447126683E-4</c:v>
                </c:pt>
                <c:pt idx="606">
                  <c:v>-3.4976444978738759E-4</c:v>
                </c:pt>
                <c:pt idx="607">
                  <c:v>-5.2684698510350829E-4</c:v>
                </c:pt>
                <c:pt idx="608">
                  <c:v>-7.0392952041962911E-4</c:v>
                </c:pt>
                <c:pt idx="609">
                  <c:v>-8.8101205573574992E-4</c:v>
                </c:pt>
                <c:pt idx="610">
                  <c:v>-1.0580945910518703E-3</c:v>
                </c:pt>
                <c:pt idx="611">
                  <c:v>-1.2351771263679912E-3</c:v>
                </c:pt>
                <c:pt idx="612">
                  <c:v>-1.4122596616841121E-3</c:v>
                </c:pt>
                <c:pt idx="613">
                  <c:v>-1.5893421970002326E-3</c:v>
                </c:pt>
                <c:pt idx="614">
                  <c:v>-1.7664247323163536E-3</c:v>
                </c:pt>
                <c:pt idx="615">
                  <c:v>-1.9435072676324743E-3</c:v>
                </c:pt>
                <c:pt idx="616">
                  <c:v>-2.1205898029485952E-3</c:v>
                </c:pt>
                <c:pt idx="617">
                  <c:v>-2.2976723382647163E-3</c:v>
                </c:pt>
                <c:pt idx="618">
                  <c:v>-2.4747548735808366E-3</c:v>
                </c:pt>
                <c:pt idx="619">
                  <c:v>-2.6518374088969573E-3</c:v>
                </c:pt>
                <c:pt idx="620">
                  <c:v>2.6651093828686883E-3</c:v>
                </c:pt>
                <c:pt idx="621">
                  <c:v>2.4880268475525676E-3</c:v>
                </c:pt>
                <c:pt idx="622">
                  <c:v>2.3109443122364469E-3</c:v>
                </c:pt>
                <c:pt idx="623">
                  <c:v>2.1338617769203257E-3</c:v>
                </c:pt>
                <c:pt idx="624">
                  <c:v>1.9567792416042055E-3</c:v>
                </c:pt>
                <c:pt idx="625">
                  <c:v>1.7796967062880848E-3</c:v>
                </c:pt>
                <c:pt idx="626">
                  <c:v>1.6026141709719638E-3</c:v>
                </c:pt>
                <c:pt idx="627">
                  <c:v>1.4255316356558429E-3</c:v>
                </c:pt>
                <c:pt idx="628">
                  <c:v>1.2484491003397224E-3</c:v>
                </c:pt>
                <c:pt idx="629">
                  <c:v>1.0713665650236013E-3</c:v>
                </c:pt>
                <c:pt idx="630">
                  <c:v>8.942840297074808E-4</c:v>
                </c:pt>
                <c:pt idx="631">
                  <c:v>7.1720149439135998E-4</c:v>
                </c:pt>
                <c:pt idx="632">
                  <c:v>5.4011895907523928E-4</c:v>
                </c:pt>
                <c:pt idx="633">
                  <c:v>3.6303642375911852E-4</c:v>
                </c:pt>
                <c:pt idx="634">
                  <c:v>1.8595388844300662E-4</c:v>
                </c:pt>
                <c:pt idx="635">
                  <c:v>8.8713531268858786E-6</c:v>
                </c:pt>
                <c:pt idx="636">
                  <c:v>-1.682111821892349E-4</c:v>
                </c:pt>
                <c:pt idx="637">
                  <c:v>-3.4529371750535563E-4</c:v>
                </c:pt>
                <c:pt idx="638">
                  <c:v>-5.2237625282147628E-4</c:v>
                </c:pt>
                <c:pt idx="639">
                  <c:v>-6.994587881375972E-4</c:v>
                </c:pt>
                <c:pt idx="640">
                  <c:v>-8.7654132345371791E-4</c:v>
                </c:pt>
                <c:pt idx="641">
                  <c:v>-1.0536238587698385E-3</c:v>
                </c:pt>
                <c:pt idx="642">
                  <c:v>-1.2307063940859594E-3</c:v>
                </c:pt>
                <c:pt idx="643">
                  <c:v>-1.4077889294020803E-3</c:v>
                </c:pt>
                <c:pt idx="644">
                  <c:v>-1.5848714647182008E-3</c:v>
                </c:pt>
                <c:pt idx="645">
                  <c:v>-1.7619540000343218E-3</c:v>
                </c:pt>
                <c:pt idx="646">
                  <c:v>-1.9390365353504422E-3</c:v>
                </c:pt>
                <c:pt idx="647">
                  <c:v>-2.1161190706665634E-3</c:v>
                </c:pt>
                <c:pt idx="648">
                  <c:v>-2.2932016059826841E-3</c:v>
                </c:pt>
                <c:pt idx="649">
                  <c:v>-2.4702841412988048E-3</c:v>
                </c:pt>
                <c:pt idx="650">
                  <c:v>-2.6473666766149255E-3</c:v>
                </c:pt>
                <c:pt idx="651">
                  <c:v>2.6695801151507201E-3</c:v>
                </c:pt>
                <c:pt idx="652">
                  <c:v>2.4924975798345998E-3</c:v>
                </c:pt>
                <c:pt idx="653">
                  <c:v>2.3154150445184787E-3</c:v>
                </c:pt>
                <c:pt idx="654">
                  <c:v>2.138332509202358E-3</c:v>
                </c:pt>
                <c:pt idx="655">
                  <c:v>1.9612499738862373E-3</c:v>
                </c:pt>
                <c:pt idx="656">
                  <c:v>1.7841674385701166E-3</c:v>
                </c:pt>
                <c:pt idx="657">
                  <c:v>1.6070849032539956E-3</c:v>
                </c:pt>
                <c:pt idx="658">
                  <c:v>1.4300023679378749E-3</c:v>
                </c:pt>
                <c:pt idx="659">
                  <c:v>1.2529198326217542E-3</c:v>
                </c:pt>
                <c:pt idx="660">
                  <c:v>1.0758372973056333E-3</c:v>
                </c:pt>
                <c:pt idx="661">
                  <c:v>8.9875476198951281E-4</c:v>
                </c:pt>
                <c:pt idx="662">
                  <c:v>7.21672226673392E-4</c:v>
                </c:pt>
                <c:pt idx="663">
                  <c:v>5.4458969135727118E-4</c:v>
                </c:pt>
                <c:pt idx="664">
                  <c:v>3.6750715604115048E-4</c:v>
                </c:pt>
                <c:pt idx="665">
                  <c:v>1.9042462072503858E-4</c:v>
                </c:pt>
                <c:pt idx="666">
                  <c:v>1.3342085408917828E-5</c:v>
                </c:pt>
                <c:pt idx="667">
                  <c:v>-1.6374044990720294E-4</c:v>
                </c:pt>
                <c:pt idx="668">
                  <c:v>-3.4082298522332372E-4</c:v>
                </c:pt>
                <c:pt idx="669">
                  <c:v>-5.1790552053944438E-4</c:v>
                </c:pt>
                <c:pt idx="670">
                  <c:v>-6.9498805585556519E-4</c:v>
                </c:pt>
                <c:pt idx="671">
                  <c:v>-8.7207059117168589E-4</c:v>
                </c:pt>
                <c:pt idx="672">
                  <c:v>-1.0491531264878067E-3</c:v>
                </c:pt>
                <c:pt idx="673">
                  <c:v>-1.2262356618039274E-3</c:v>
                </c:pt>
                <c:pt idx="674">
                  <c:v>-1.4033181971200483E-3</c:v>
                </c:pt>
                <c:pt idx="675">
                  <c:v>-1.5804007324361688E-3</c:v>
                </c:pt>
                <c:pt idx="676">
                  <c:v>-1.7574832677522897E-3</c:v>
                </c:pt>
                <c:pt idx="677">
                  <c:v>-1.9345658030684107E-3</c:v>
                </c:pt>
                <c:pt idx="678">
                  <c:v>-2.1116483383845312E-3</c:v>
                </c:pt>
                <c:pt idx="679">
                  <c:v>-2.2887308737006523E-3</c:v>
                </c:pt>
                <c:pt idx="680">
                  <c:v>-2.465813409016773E-3</c:v>
                </c:pt>
                <c:pt idx="681">
                  <c:v>-2.6428959443328933E-3</c:v>
                </c:pt>
                <c:pt idx="682">
                  <c:v>2.6740508474327523E-3</c:v>
                </c:pt>
                <c:pt idx="683">
                  <c:v>2.4969683121166316E-3</c:v>
                </c:pt>
                <c:pt idx="684">
                  <c:v>2.3198857768005109E-3</c:v>
                </c:pt>
                <c:pt idx="685">
                  <c:v>2.1428032414843898E-3</c:v>
                </c:pt>
                <c:pt idx="686">
                  <c:v>1.9657207061682691E-3</c:v>
                </c:pt>
                <c:pt idx="687">
                  <c:v>1.7886381708521486E-3</c:v>
                </c:pt>
                <c:pt idx="688">
                  <c:v>1.6115556355360276E-3</c:v>
                </c:pt>
                <c:pt idx="689">
                  <c:v>1.4344731002199067E-3</c:v>
                </c:pt>
                <c:pt idx="690">
                  <c:v>1.2573905649037862E-3</c:v>
                </c:pt>
                <c:pt idx="691">
                  <c:v>1.0803080295876653E-3</c:v>
                </c:pt>
                <c:pt idx="692">
                  <c:v>9.0322549427154482E-4</c:v>
                </c:pt>
                <c:pt idx="693">
                  <c:v>7.261429589554239E-4</c:v>
                </c:pt>
                <c:pt idx="694">
                  <c:v>5.4906042363930319E-4</c:v>
                </c:pt>
                <c:pt idx="695">
                  <c:v>3.7197788832318243E-4</c:v>
                </c:pt>
                <c:pt idx="696">
                  <c:v>1.9489535300707051E-4</c:v>
                </c:pt>
                <c:pt idx="697">
                  <c:v>1.7812817690949779E-5</c:v>
                </c:pt>
                <c:pt idx="698">
                  <c:v>-1.5926971762517098E-4</c:v>
                </c:pt>
                <c:pt idx="699">
                  <c:v>-3.3635225294129171E-4</c:v>
                </c:pt>
                <c:pt idx="700">
                  <c:v>-5.1343478825741236E-4</c:v>
                </c:pt>
                <c:pt idx="701">
                  <c:v>-6.9051732357353318E-4</c:v>
                </c:pt>
                <c:pt idx="702">
                  <c:v>-8.6759985888965399E-4</c:v>
                </c:pt>
                <c:pt idx="703">
                  <c:v>-1.0446823942057747E-3</c:v>
                </c:pt>
                <c:pt idx="704">
                  <c:v>-1.2217649295218954E-3</c:v>
                </c:pt>
                <c:pt idx="705">
                  <c:v>-1.3988474648380163E-3</c:v>
                </c:pt>
                <c:pt idx="706">
                  <c:v>-1.5759300001541368E-3</c:v>
                </c:pt>
                <c:pt idx="707">
                  <c:v>-1.753012535470258E-3</c:v>
                </c:pt>
                <c:pt idx="708">
                  <c:v>-1.9300950707863787E-3</c:v>
                </c:pt>
                <c:pt idx="709">
                  <c:v>-2.1071776061024994E-3</c:v>
                </c:pt>
                <c:pt idx="710">
                  <c:v>-2.2842601414186205E-3</c:v>
                </c:pt>
                <c:pt idx="711">
                  <c:v>-2.4613426767347408E-3</c:v>
                </c:pt>
                <c:pt idx="712">
                  <c:v>-2.6384252120508615E-3</c:v>
                </c:pt>
                <c:pt idx="713">
                  <c:v>2.6785215797147841E-3</c:v>
                </c:pt>
                <c:pt idx="714">
                  <c:v>2.5014390443986638E-3</c:v>
                </c:pt>
                <c:pt idx="715">
                  <c:v>2.3243565090825427E-3</c:v>
                </c:pt>
                <c:pt idx="716">
                  <c:v>2.1472739737664216E-3</c:v>
                </c:pt>
                <c:pt idx="717">
                  <c:v>1.9701914384503013E-3</c:v>
                </c:pt>
                <c:pt idx="718">
                  <c:v>1.7931089031341806E-3</c:v>
                </c:pt>
                <c:pt idx="719">
                  <c:v>1.6160263678180594E-3</c:v>
                </c:pt>
                <c:pt idx="720">
                  <c:v>1.4389438325019387E-3</c:v>
                </c:pt>
                <c:pt idx="721">
                  <c:v>1.2618612971858182E-3</c:v>
                </c:pt>
                <c:pt idx="722">
                  <c:v>1.0847787618696973E-3</c:v>
                </c:pt>
                <c:pt idx="723">
                  <c:v>9.0769622655357662E-4</c:v>
                </c:pt>
                <c:pt idx="724">
                  <c:v>7.306136912374558E-4</c:v>
                </c:pt>
                <c:pt idx="725">
                  <c:v>5.535311559213351E-4</c:v>
                </c:pt>
                <c:pt idx="726">
                  <c:v>3.7644862060521439E-4</c:v>
                </c:pt>
                <c:pt idx="727">
                  <c:v>1.9936608528910247E-4</c:v>
                </c:pt>
                <c:pt idx="728">
                  <c:v>2.2283549972981744E-5</c:v>
                </c:pt>
                <c:pt idx="729">
                  <c:v>-1.5479898534313902E-4</c:v>
                </c:pt>
                <c:pt idx="730">
                  <c:v>-3.3188152065925975E-4</c:v>
                </c:pt>
                <c:pt idx="731">
                  <c:v>-5.0896405597538046E-4</c:v>
                </c:pt>
                <c:pt idx="732">
                  <c:v>-6.8604659129150138E-4</c:v>
                </c:pt>
                <c:pt idx="733">
                  <c:v>-8.6312912660762209E-4</c:v>
                </c:pt>
                <c:pt idx="734">
                  <c:v>-1.0402116619237427E-3</c:v>
                </c:pt>
                <c:pt idx="735">
                  <c:v>-1.2172941972398634E-3</c:v>
                </c:pt>
                <c:pt idx="736">
                  <c:v>-1.3943767325559843E-3</c:v>
                </c:pt>
                <c:pt idx="737">
                  <c:v>-1.571459267872105E-3</c:v>
                </c:pt>
                <c:pt idx="738">
                  <c:v>-1.7485418031882259E-3</c:v>
                </c:pt>
                <c:pt idx="739">
                  <c:v>-1.9256243385043466E-3</c:v>
                </c:pt>
                <c:pt idx="740">
                  <c:v>-2.1027068738204676E-3</c:v>
                </c:pt>
                <c:pt idx="741">
                  <c:v>-2.2797894091365883E-3</c:v>
                </c:pt>
                <c:pt idx="742">
                  <c:v>-2.456871944452709E-3</c:v>
                </c:pt>
                <c:pt idx="743">
                  <c:v>-2.6339544797688292E-3</c:v>
                </c:pt>
                <c:pt idx="744">
                  <c:v>2.6829923119968163E-3</c:v>
                </c:pt>
                <c:pt idx="745">
                  <c:v>2.5059097766806956E-3</c:v>
                </c:pt>
                <c:pt idx="746">
                  <c:v>2.3288272413645745E-3</c:v>
                </c:pt>
                <c:pt idx="747">
                  <c:v>2.1517447060484538E-3</c:v>
                </c:pt>
                <c:pt idx="748">
                  <c:v>1.9746621707323331E-3</c:v>
                </c:pt>
                <c:pt idx="749">
                  <c:v>1.7975796354162124E-3</c:v>
                </c:pt>
                <c:pt idx="750">
                  <c:v>1.6204971001000915E-3</c:v>
                </c:pt>
                <c:pt idx="751">
                  <c:v>1.4434145647839707E-3</c:v>
                </c:pt>
                <c:pt idx="752">
                  <c:v>1.2663320294678503E-3</c:v>
                </c:pt>
                <c:pt idx="753">
                  <c:v>1.0892494941517293E-3</c:v>
                </c:pt>
                <c:pt idx="754">
                  <c:v>9.1216695883560863E-4</c:v>
                </c:pt>
                <c:pt idx="755">
                  <c:v>7.3508442351948782E-4</c:v>
                </c:pt>
                <c:pt idx="756">
                  <c:v>5.58001888203367E-4</c:v>
                </c:pt>
                <c:pt idx="757">
                  <c:v>3.809193528872463E-4</c:v>
                </c:pt>
                <c:pt idx="758">
                  <c:v>2.0383681757113445E-4</c:v>
                </c:pt>
                <c:pt idx="759">
                  <c:v>2.6754282255013692E-5</c:v>
                </c:pt>
                <c:pt idx="760">
                  <c:v>-1.5032825306110709E-4</c:v>
                </c:pt>
                <c:pt idx="761">
                  <c:v>-3.2741078837722785E-4</c:v>
                </c:pt>
                <c:pt idx="762">
                  <c:v>-5.0449332369334856E-4</c:v>
                </c:pt>
                <c:pt idx="763">
                  <c:v>-6.8157585900946937E-4</c:v>
                </c:pt>
                <c:pt idx="764">
                  <c:v>-8.5865839432559008E-4</c:v>
                </c:pt>
                <c:pt idx="765">
                  <c:v>-1.0357409296417107E-3</c:v>
                </c:pt>
                <c:pt idx="766">
                  <c:v>-1.2128234649578314E-3</c:v>
                </c:pt>
                <c:pt idx="767">
                  <c:v>-1.3899060002739525E-3</c:v>
                </c:pt>
                <c:pt idx="768">
                  <c:v>-1.566988535590073E-3</c:v>
                </c:pt>
                <c:pt idx="769">
                  <c:v>-1.7440710709061939E-3</c:v>
                </c:pt>
                <c:pt idx="770">
                  <c:v>-1.9211536062223146E-3</c:v>
                </c:pt>
                <c:pt idx="771">
                  <c:v>-2.0982361415384353E-3</c:v>
                </c:pt>
                <c:pt idx="772">
                  <c:v>-2.2753186768545565E-3</c:v>
                </c:pt>
                <c:pt idx="773">
                  <c:v>-2.4524012121706767E-3</c:v>
                </c:pt>
                <c:pt idx="774">
                  <c:v>-2.6294837474867975E-3</c:v>
                </c:pt>
                <c:pt idx="775">
                  <c:v>2.6874630442788481E-3</c:v>
                </c:pt>
                <c:pt idx="776">
                  <c:v>2.5103805089627274E-3</c:v>
                </c:pt>
                <c:pt idx="777">
                  <c:v>2.3332979736466067E-3</c:v>
                </c:pt>
                <c:pt idx="778">
                  <c:v>2.1562154383304856E-3</c:v>
                </c:pt>
                <c:pt idx="779">
                  <c:v>1.9791329030143649E-3</c:v>
                </c:pt>
                <c:pt idx="780">
                  <c:v>1.8020503676982444E-3</c:v>
                </c:pt>
                <c:pt idx="781">
                  <c:v>1.6249678323821235E-3</c:v>
                </c:pt>
                <c:pt idx="782">
                  <c:v>1.4478852970660028E-3</c:v>
                </c:pt>
                <c:pt idx="783">
                  <c:v>1.2708027617498823E-3</c:v>
                </c:pt>
                <c:pt idx="784">
                  <c:v>1.0937202264337613E-3</c:v>
                </c:pt>
                <c:pt idx="785">
                  <c:v>9.1663769111764064E-4</c:v>
                </c:pt>
                <c:pt idx="786">
                  <c:v>7.3955515580151972E-4</c:v>
                </c:pt>
                <c:pt idx="787">
                  <c:v>5.6247262048539901E-4</c:v>
                </c:pt>
                <c:pt idx="788">
                  <c:v>3.8539008516927831E-4</c:v>
                </c:pt>
                <c:pt idx="789">
                  <c:v>2.0830754985316639E-4</c:v>
                </c:pt>
                <c:pt idx="790">
                  <c:v>3.1225014537045646E-5</c:v>
                </c:pt>
                <c:pt idx="791">
                  <c:v>-1.4585752077907511E-4</c:v>
                </c:pt>
                <c:pt idx="792">
                  <c:v>-3.2294005609519584E-4</c:v>
                </c:pt>
                <c:pt idx="793">
                  <c:v>-5.0002259141131654E-4</c:v>
                </c:pt>
                <c:pt idx="794">
                  <c:v>-6.7710512672743736E-4</c:v>
                </c:pt>
                <c:pt idx="795">
                  <c:v>-8.5418766204355817E-4</c:v>
                </c:pt>
                <c:pt idx="796">
                  <c:v>-1.0312701973596787E-3</c:v>
                </c:pt>
                <c:pt idx="797">
                  <c:v>-1.2083527326757996E-3</c:v>
                </c:pt>
                <c:pt idx="798">
                  <c:v>-1.3854352679919205E-3</c:v>
                </c:pt>
                <c:pt idx="799">
                  <c:v>-1.562517803308041E-3</c:v>
                </c:pt>
                <c:pt idx="800">
                  <c:v>-1.7396003386241619E-3</c:v>
                </c:pt>
                <c:pt idx="801">
                  <c:v>-1.9166828739402826E-3</c:v>
                </c:pt>
                <c:pt idx="802">
                  <c:v>-2.0937654092564035E-3</c:v>
                </c:pt>
                <c:pt idx="803">
                  <c:v>-2.2708479445725242E-3</c:v>
                </c:pt>
                <c:pt idx="804">
                  <c:v>-2.447930479888645E-3</c:v>
                </c:pt>
                <c:pt idx="805">
                  <c:v>-2.6250130152047652E-3</c:v>
                </c:pt>
                <c:pt idx="806">
                  <c:v>2.6919337765608799E-3</c:v>
                </c:pt>
                <c:pt idx="807">
                  <c:v>2.5148512412447597E-3</c:v>
                </c:pt>
                <c:pt idx="808">
                  <c:v>2.3377687059286385E-3</c:v>
                </c:pt>
                <c:pt idx="809">
                  <c:v>2.1606861706125178E-3</c:v>
                </c:pt>
                <c:pt idx="810">
                  <c:v>1.9836036352963967E-3</c:v>
                </c:pt>
                <c:pt idx="811">
                  <c:v>1.8065210999802764E-3</c:v>
                </c:pt>
                <c:pt idx="812">
                  <c:v>1.6294385646641555E-3</c:v>
                </c:pt>
                <c:pt idx="813">
                  <c:v>1.4523560293480348E-3</c:v>
                </c:pt>
                <c:pt idx="814">
                  <c:v>1.2752734940319143E-3</c:v>
                </c:pt>
                <c:pt idx="815">
                  <c:v>1.0981909587157931E-3</c:v>
                </c:pt>
                <c:pt idx="816">
                  <c:v>9.2110842339967255E-4</c:v>
                </c:pt>
                <c:pt idx="817">
                  <c:v>7.4402588808355173E-4</c:v>
                </c:pt>
                <c:pt idx="818">
                  <c:v>5.6694335276743103E-4</c:v>
                </c:pt>
                <c:pt idx="819">
                  <c:v>3.8986081745131021E-4</c:v>
                </c:pt>
                <c:pt idx="820">
                  <c:v>2.1277828213519834E-4</c:v>
                </c:pt>
                <c:pt idx="821">
                  <c:v>3.5695746819077598E-5</c:v>
                </c:pt>
                <c:pt idx="822">
                  <c:v>-1.4138678849704318E-4</c:v>
                </c:pt>
                <c:pt idx="823">
                  <c:v>-3.1846932381316393E-4</c:v>
                </c:pt>
                <c:pt idx="824">
                  <c:v>-4.9555185912928464E-4</c:v>
                </c:pt>
                <c:pt idx="825">
                  <c:v>-6.7263439444540545E-4</c:v>
                </c:pt>
                <c:pt idx="826">
                  <c:v>-8.4971692976152616E-4</c:v>
                </c:pt>
                <c:pt idx="827">
                  <c:v>-1.0267994650776469E-3</c:v>
                </c:pt>
                <c:pt idx="828">
                  <c:v>-1.2038820003937676E-3</c:v>
                </c:pt>
                <c:pt idx="829">
                  <c:v>-1.3809645357098885E-3</c:v>
                </c:pt>
                <c:pt idx="830">
                  <c:v>-1.558047071026009E-3</c:v>
                </c:pt>
                <c:pt idx="831">
                  <c:v>-1.7351296063421299E-3</c:v>
                </c:pt>
                <c:pt idx="832">
                  <c:v>-1.9122121416582506E-3</c:v>
                </c:pt>
                <c:pt idx="833">
                  <c:v>-2.0892946769743713E-3</c:v>
                </c:pt>
                <c:pt idx="834">
                  <c:v>-2.2663772122904925E-3</c:v>
                </c:pt>
                <c:pt idx="835">
                  <c:v>-2.4434597476066127E-3</c:v>
                </c:pt>
                <c:pt idx="836">
                  <c:v>-2.6205422829227334E-3</c:v>
                </c:pt>
                <c:pt idx="837">
                  <c:v>2.6964045088429122E-3</c:v>
                </c:pt>
                <c:pt idx="838">
                  <c:v>2.5193219735267914E-3</c:v>
                </c:pt>
                <c:pt idx="839">
                  <c:v>2.3422394382106707E-3</c:v>
                </c:pt>
                <c:pt idx="840">
                  <c:v>2.1651569028945496E-3</c:v>
                </c:pt>
                <c:pt idx="841">
                  <c:v>1.9880743675784289E-3</c:v>
                </c:pt>
                <c:pt idx="842">
                  <c:v>1.8109918322623084E-3</c:v>
                </c:pt>
                <c:pt idx="843">
                  <c:v>1.6339092969461875E-3</c:v>
                </c:pt>
                <c:pt idx="844">
                  <c:v>1.4568267616300668E-3</c:v>
                </c:pt>
                <c:pt idx="845">
                  <c:v>1.2797442263139461E-3</c:v>
                </c:pt>
                <c:pt idx="846">
                  <c:v>1.1026616909978252E-3</c:v>
                </c:pt>
                <c:pt idx="847">
                  <c:v>9.2557915568170445E-4</c:v>
                </c:pt>
                <c:pt idx="848">
                  <c:v>7.4849662036558364E-4</c:v>
                </c:pt>
                <c:pt idx="849">
                  <c:v>5.7141408504946282E-4</c:v>
                </c:pt>
                <c:pt idx="850">
                  <c:v>3.9433154973334217E-4</c:v>
                </c:pt>
                <c:pt idx="851">
                  <c:v>2.172490144172303E-4</c:v>
                </c:pt>
                <c:pt idx="852">
                  <c:v>4.0166479101109542E-5</c:v>
                </c:pt>
                <c:pt idx="853">
                  <c:v>-1.3691605621501122E-4</c:v>
                </c:pt>
                <c:pt idx="854">
                  <c:v>-3.1399859153113198E-4</c:v>
                </c:pt>
                <c:pt idx="855">
                  <c:v>-4.9108112684725263E-4</c:v>
                </c:pt>
                <c:pt idx="856">
                  <c:v>-6.6816366216337355E-4</c:v>
                </c:pt>
                <c:pt idx="857">
                  <c:v>-8.4524619747949426E-4</c:v>
                </c:pt>
                <c:pt idx="858">
                  <c:v>-1.0223287327956149E-3</c:v>
                </c:pt>
                <c:pt idx="859">
                  <c:v>-1.1994112681117356E-3</c:v>
                </c:pt>
                <c:pt idx="860">
                  <c:v>-1.3764938034278565E-3</c:v>
                </c:pt>
                <c:pt idx="861">
                  <c:v>-1.553576338743977E-3</c:v>
                </c:pt>
                <c:pt idx="862">
                  <c:v>-1.7306588740600979E-3</c:v>
                </c:pt>
                <c:pt idx="863">
                  <c:v>-1.9077414093762188E-3</c:v>
                </c:pt>
                <c:pt idx="864">
                  <c:v>-2.0848239446923395E-3</c:v>
                </c:pt>
                <c:pt idx="865">
                  <c:v>-2.2619064800084602E-3</c:v>
                </c:pt>
                <c:pt idx="866">
                  <c:v>-2.4389890153245809E-3</c:v>
                </c:pt>
                <c:pt idx="867">
                  <c:v>-2.6160715506407016E-3</c:v>
                </c:pt>
                <c:pt idx="868">
                  <c:v>2.7008752411249439E-3</c:v>
                </c:pt>
                <c:pt idx="869">
                  <c:v>2.5237927058088237E-3</c:v>
                </c:pt>
                <c:pt idx="870">
                  <c:v>2.3467101704927025E-3</c:v>
                </c:pt>
                <c:pt idx="871">
                  <c:v>2.1696276351765818E-3</c:v>
                </c:pt>
                <c:pt idx="872">
                  <c:v>1.9925450998604607E-3</c:v>
                </c:pt>
                <c:pt idx="873">
                  <c:v>1.8154625645443404E-3</c:v>
                </c:pt>
                <c:pt idx="874">
                  <c:v>1.6383800292282195E-3</c:v>
                </c:pt>
                <c:pt idx="875">
                  <c:v>1.4612974939120986E-3</c:v>
                </c:pt>
                <c:pt idx="876">
                  <c:v>1.2842149585959781E-3</c:v>
                </c:pt>
                <c:pt idx="877">
                  <c:v>1.1071324232798572E-3</c:v>
                </c:pt>
                <c:pt idx="878">
                  <c:v>9.3004988796373646E-4</c:v>
                </c:pt>
                <c:pt idx="879">
                  <c:v>7.5296735264761554E-4</c:v>
                </c:pt>
                <c:pt idx="880">
                  <c:v>5.7588481733149483E-4</c:v>
                </c:pt>
                <c:pt idx="881">
                  <c:v>3.9880228201537418E-4</c:v>
                </c:pt>
                <c:pt idx="882">
                  <c:v>2.2171974669926226E-4</c:v>
                </c:pt>
                <c:pt idx="883">
                  <c:v>4.4637211383141507E-5</c:v>
                </c:pt>
                <c:pt idx="884">
                  <c:v>-1.3244532393297926E-4</c:v>
                </c:pt>
                <c:pt idx="885">
                  <c:v>-3.0952785924909996E-4</c:v>
                </c:pt>
                <c:pt idx="886">
                  <c:v>-4.8661039456522067E-4</c:v>
                </c:pt>
                <c:pt idx="887">
                  <c:v>-6.6369292988134154E-4</c:v>
                </c:pt>
                <c:pt idx="888">
                  <c:v>-8.4077546519746235E-4</c:v>
                </c:pt>
                <c:pt idx="889">
                  <c:v>-1.0178580005135828E-3</c:v>
                </c:pt>
                <c:pt idx="890">
                  <c:v>-1.1949405358297035E-3</c:v>
                </c:pt>
                <c:pt idx="891">
                  <c:v>-1.3720230711458245E-3</c:v>
                </c:pt>
                <c:pt idx="892">
                  <c:v>-1.549105606461945E-3</c:v>
                </c:pt>
                <c:pt idx="893">
                  <c:v>-1.7261881417780661E-3</c:v>
                </c:pt>
                <c:pt idx="894">
                  <c:v>-1.9032706770941868E-3</c:v>
                </c:pt>
                <c:pt idx="895">
                  <c:v>-2.0803532124103073E-3</c:v>
                </c:pt>
                <c:pt idx="896">
                  <c:v>-2.2574357477264284E-3</c:v>
                </c:pt>
                <c:pt idx="897">
                  <c:v>-2.4345182830425491E-3</c:v>
                </c:pt>
                <c:pt idx="898">
                  <c:v>-2.6116008183586694E-3</c:v>
                </c:pt>
                <c:pt idx="899">
                  <c:v>2.7053459734069762E-3</c:v>
                </c:pt>
                <c:pt idx="900">
                  <c:v>2.5282634380908555E-3</c:v>
                </c:pt>
                <c:pt idx="901">
                  <c:v>2.3511809027747348E-3</c:v>
                </c:pt>
                <c:pt idx="902">
                  <c:v>2.1740983674586136E-3</c:v>
                </c:pt>
                <c:pt idx="903">
                  <c:v>1.9970158321424925E-3</c:v>
                </c:pt>
                <c:pt idx="904">
                  <c:v>1.8199332968263724E-3</c:v>
                </c:pt>
                <c:pt idx="905">
                  <c:v>1.6428507615102513E-3</c:v>
                </c:pt>
                <c:pt idx="906">
                  <c:v>1.4657682261941306E-3</c:v>
                </c:pt>
                <c:pt idx="907">
                  <c:v>1.2886856908780101E-3</c:v>
                </c:pt>
                <c:pt idx="908">
                  <c:v>1.1116031555618892E-3</c:v>
                </c:pt>
                <c:pt idx="909">
                  <c:v>9.3452062024576836E-4</c:v>
                </c:pt>
                <c:pt idx="910">
                  <c:v>7.5743808492964755E-4</c:v>
                </c:pt>
                <c:pt idx="911">
                  <c:v>5.8035554961352685E-4</c:v>
                </c:pt>
                <c:pt idx="912">
                  <c:v>4.0327301429740609E-4</c:v>
                </c:pt>
                <c:pt idx="913">
                  <c:v>2.2619047898129422E-4</c:v>
                </c:pt>
                <c:pt idx="914">
                  <c:v>4.9107943665173465E-5</c:v>
                </c:pt>
                <c:pt idx="915">
                  <c:v>-1.279745916509473E-4</c:v>
                </c:pt>
                <c:pt idx="916">
                  <c:v>-3.0505712696706806E-4</c:v>
                </c:pt>
                <c:pt idx="917">
                  <c:v>-4.8213966228318877E-4</c:v>
                </c:pt>
                <c:pt idx="918">
                  <c:v>-6.5922219759930963E-4</c:v>
                </c:pt>
                <c:pt idx="919">
                  <c:v>-8.3630473291543034E-4</c:v>
                </c:pt>
                <c:pt idx="920">
                  <c:v>-1.0133872682315508E-3</c:v>
                </c:pt>
                <c:pt idx="921">
                  <c:v>-1.1904698035476715E-3</c:v>
                </c:pt>
                <c:pt idx="922">
                  <c:v>-1.3675523388637925E-3</c:v>
                </c:pt>
                <c:pt idx="923">
                  <c:v>-1.5446348741799132E-3</c:v>
                </c:pt>
                <c:pt idx="924">
                  <c:v>-1.7217174094960341E-3</c:v>
                </c:pt>
                <c:pt idx="925">
                  <c:v>-1.8987999448121548E-3</c:v>
                </c:pt>
                <c:pt idx="926">
                  <c:v>-2.0758824801282755E-3</c:v>
                </c:pt>
                <c:pt idx="927">
                  <c:v>-2.2529650154443966E-3</c:v>
                </c:pt>
                <c:pt idx="928">
                  <c:v>-2.4300475507605169E-3</c:v>
                </c:pt>
                <c:pt idx="929">
                  <c:v>-2.6071300860766376E-3</c:v>
                </c:pt>
                <c:pt idx="930">
                  <c:v>2.709816705689008E-3</c:v>
                </c:pt>
                <c:pt idx="931">
                  <c:v>2.5327341703728877E-3</c:v>
                </c:pt>
                <c:pt idx="932">
                  <c:v>2.3556516350567666E-3</c:v>
                </c:pt>
                <c:pt idx="933">
                  <c:v>2.1785690997406454E-3</c:v>
                </c:pt>
                <c:pt idx="934">
                  <c:v>2.0014865644245247E-3</c:v>
                </c:pt>
                <c:pt idx="935">
                  <c:v>1.824404029108404E-3</c:v>
                </c:pt>
                <c:pt idx="936">
                  <c:v>1.6473214937922831E-3</c:v>
                </c:pt>
                <c:pt idx="937">
                  <c:v>1.4702389584761624E-3</c:v>
                </c:pt>
                <c:pt idx="938">
                  <c:v>1.2931564231600419E-3</c:v>
                </c:pt>
                <c:pt idx="939">
                  <c:v>1.116073887843921E-3</c:v>
                </c:pt>
                <c:pt idx="940">
                  <c:v>9.3899135252780038E-4</c:v>
                </c:pt>
                <c:pt idx="941">
                  <c:v>7.6190881721167956E-4</c:v>
                </c:pt>
                <c:pt idx="942">
                  <c:v>5.8482628189555875E-4</c:v>
                </c:pt>
                <c:pt idx="943">
                  <c:v>4.0774374657943804E-4</c:v>
                </c:pt>
                <c:pt idx="944">
                  <c:v>2.3066121126332615E-4</c:v>
                </c:pt>
                <c:pt idx="945">
                  <c:v>5.3578675947205416E-5</c:v>
                </c:pt>
                <c:pt idx="946">
                  <c:v>-1.2350385936891534E-4</c:v>
                </c:pt>
                <c:pt idx="947">
                  <c:v>-3.005863946850361E-4</c:v>
                </c:pt>
                <c:pt idx="948">
                  <c:v>-4.7766893000115675E-4</c:v>
                </c:pt>
                <c:pt idx="949">
                  <c:v>-6.5475146531727762E-4</c:v>
                </c:pt>
                <c:pt idx="950">
                  <c:v>-8.3183400063339833E-4</c:v>
                </c:pt>
                <c:pt idx="951">
                  <c:v>-1.008916535949519E-3</c:v>
                </c:pt>
                <c:pt idx="952">
                  <c:v>-1.1859990712656397E-3</c:v>
                </c:pt>
                <c:pt idx="953">
                  <c:v>-1.3630816065817609E-3</c:v>
                </c:pt>
                <c:pt idx="954">
                  <c:v>-1.5401641418978814E-3</c:v>
                </c:pt>
                <c:pt idx="955">
                  <c:v>-1.7172466772140023E-3</c:v>
                </c:pt>
                <c:pt idx="956">
                  <c:v>-1.894329212530123E-3</c:v>
                </c:pt>
                <c:pt idx="957">
                  <c:v>-2.0714117478462437E-3</c:v>
                </c:pt>
                <c:pt idx="958">
                  <c:v>-2.2484942831623644E-3</c:v>
                </c:pt>
                <c:pt idx="959">
                  <c:v>-2.4255768184784851E-3</c:v>
                </c:pt>
                <c:pt idx="960">
                  <c:v>-2.6026593537946054E-3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78-034F-851D-9B6917436E45}"/>
            </c:ext>
          </c:extLst>
        </c:ser>
        <c:ser>
          <c:idx val="1"/>
          <c:order val="1"/>
          <c:tx>
            <c:strRef>
              <c:f>Portfolio!$A$45</c:f>
              <c:strCache>
                <c:ptCount val="1"/>
                <c:pt idx="0">
                  <c:v>Portfolio Efficient/Inefficient</c:v>
                </c:pt>
              </c:strCache>
            </c:strRef>
          </c:tx>
          <c:spPr>
            <a:ln w="38100">
              <a:noFill/>
            </a:ln>
          </c:spPr>
          <c:marker>
            <c:symbol val="plus"/>
            <c:size val="10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Portfolio!$B$46:$B$48</c:f>
              <c:numCache>
                <c:formatCode>General</c:formatCode>
                <c:ptCount val="3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</c:numCache>
            </c:numRef>
          </c:xVal>
          <c:yVal>
            <c:numRef>
              <c:f>Portfolio!$C$46:$C$48</c:f>
              <c:numCache>
                <c:formatCode>General</c:formatCode>
                <c:ptCount val="3"/>
                <c:pt idx="0">
                  <c:v>-5.8E-4</c:v>
                </c:pt>
                <c:pt idx="1">
                  <c:v>-1.8990000000000001E-3</c:v>
                </c:pt>
                <c:pt idx="2">
                  <c:v>-2.4880000000000002E-3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8-9D45-8413-99B7136FEEC4}"/>
            </c:ext>
          </c:extLst>
        </c:ser>
        <c:ser>
          <c:idx val="2"/>
          <c:order val="2"/>
          <c:tx>
            <c:v>Portfolio Name2</c:v>
          </c:tx>
          <c:spPr>
            <a:ln w="38100">
              <a:noFill/>
            </a:ln>
          </c:spPr>
          <c:marker>
            <c:symbol val="circle"/>
            <c:size val="9"/>
            <c:spPr>
              <a:solidFill>
                <a:schemeClr val="tx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Portfolio!$B$49:$B$51</c:f>
              <c:numCache>
                <c:formatCode>General</c:formatCode>
                <c:ptCount val="3"/>
                <c:pt idx="0">
                  <c:v>0.03</c:v>
                </c:pt>
                <c:pt idx="1">
                  <c:v>0.04</c:v>
                </c:pt>
                <c:pt idx="2">
                  <c:v>0.05</c:v>
                </c:pt>
              </c:numCache>
            </c:numRef>
          </c:xVal>
          <c:yVal>
            <c:numRef>
              <c:f>Portfolio!$C$49:$C$51</c:f>
              <c:numCache>
                <c:formatCode>General</c:formatCode>
                <c:ptCount val="3"/>
                <c:pt idx="0">
                  <c:v>6.8999999999999997E-4</c:v>
                </c:pt>
                <c:pt idx="1">
                  <c:v>1.3760000000000001E-3</c:v>
                </c:pt>
                <c:pt idx="2">
                  <c:v>2.085E-3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08-9D45-8413-99B7136FE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363695"/>
        <c:axId val="57343072"/>
      </c:scatterChart>
      <c:valAx>
        <c:axId val="190536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43072"/>
        <c:crosses val="autoZero"/>
        <c:crossBetween val="midCat"/>
      </c:valAx>
      <c:valAx>
        <c:axId val="5734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36369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431800</xdr:colOff>
      <xdr:row>12</xdr:row>
      <xdr:rowOff>12700</xdr:rowOff>
    </xdr:from>
    <xdr:to>
      <xdr:col>8</xdr:col>
      <xdr:colOff>819150</xdr:colOff>
      <xdr:row>40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F17244-BDBB-43C8-6516-18BDA9F68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736600</xdr:colOff>
      <xdr:row>16</xdr:row>
      <xdr:rowOff>0</xdr:rowOff>
    </xdr:from>
    <xdr:to>
      <xdr:col>5</xdr:col>
      <xdr:colOff>812800</xdr:colOff>
      <xdr:row>17</xdr:row>
      <xdr:rowOff>50800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B200E9D-DDF9-9DB6-DC94-729A980BA70D}"/>
            </a:ext>
          </a:extLst>
        </xdr:cNvPr>
        <xdr:cNvSpPr txBox="1"/>
      </xdr:nvSpPr>
      <xdr:spPr>
        <a:xfrm>
          <a:off x="1562100" y="3251200"/>
          <a:ext cx="341630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Every value above the x-axis</a:t>
          </a:r>
          <a:r>
            <a:rPr lang="en-GB" sz="1100" baseline="0"/>
            <a:t> is part of the efficient frontier.</a:t>
          </a:r>
          <a:endParaRPr lang="en-GB" sz="1100"/>
        </a:p>
      </xdr:txBody>
    </xdr:sp>
    <xdr:clientData/>
  </xdr:twoCellAnchor>
  <xdr:twoCellAnchor>
    <xdr:from>
      <xdr:col>4</xdr:col>
      <xdr:colOff>477261</xdr:colOff>
      <xdr:row>22</xdr:row>
      <xdr:rowOff>80891</xdr:rowOff>
    </xdr:from>
    <xdr:to>
      <xdr:col>4</xdr:col>
      <xdr:colOff>485350</xdr:colOff>
      <xdr:row>26</xdr:row>
      <xdr:rowOff>177962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20D838B-4EAA-61DF-AAE5-F181D07724D2}"/>
            </a:ext>
          </a:extLst>
        </xdr:cNvPr>
        <xdr:cNvCxnSpPr/>
      </xdr:nvCxnSpPr>
      <xdr:spPr>
        <a:xfrm>
          <a:off x="3866624" y="4529936"/>
          <a:ext cx="8089" cy="90598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0.17153</cdr:x>
      <cdr:y>0.29967</cdr:y>
    </cdr:from>
    <cdr:to>
      <cdr:x>0.35544</cdr:x>
      <cdr:y>0.38624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892021F-728E-B1A6-408D-AB1A727997B0}"/>
            </a:ext>
          </a:extLst>
        </cdr:cNvPr>
        <cdr:cNvSpPr txBox="1"/>
      </cdr:nvSpPr>
      <cdr:spPr>
        <a:xfrm xmlns:a="http://schemas.openxmlformats.org/drawingml/2006/main">
          <a:off x="1231900" y="1714500"/>
          <a:ext cx="1320800" cy="495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Minimum</a:t>
          </a:r>
          <a:r>
            <a:rPr lang="en-GB" sz="1100" kern="1200" baseline="0"/>
            <a:t> Variance Threshold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0.27409</cdr:x>
      <cdr:y>0.34628</cdr:y>
    </cdr:from>
    <cdr:to>
      <cdr:x>0.35073</cdr:x>
      <cdr:y>0.44526</cdr:y>
    </cdr:to>
    <cdr:cxnSp macro="">
      <cdr:nvCxnSpPr>
        <cdr:cNvPr id="4" name="Straight Arrow Connector 3">
          <a:extLst xmlns:a="http://schemas.openxmlformats.org/drawingml/2006/main">
            <a:ext uri="{FF2B5EF4-FFF2-40B4-BE49-F238E27FC236}">
              <a16:creationId xmlns:a16="http://schemas.microsoft.com/office/drawing/2014/main" id="{37918EBF-4A85-4782-B9B5-795190C66905}"/>
            </a:ext>
          </a:extLst>
        </cdr:cNvPr>
        <cdr:cNvCxnSpPr/>
      </cdr:nvCxnSpPr>
      <cdr:spPr>
        <a:xfrm xmlns:a="http://schemas.openxmlformats.org/drawingml/2006/main">
          <a:off x="1995190" y="1971777"/>
          <a:ext cx="557914" cy="563612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0.59493</cdr:x>
      <cdr:y>0.28302</cdr:y>
    </cdr:from>
    <cdr:to>
      <cdr:x>0.5958</cdr:x>
      <cdr:y>0.68701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5B1A7103-86BB-C237-D8BA-101E36B4DFDC}"/>
            </a:ext>
          </a:extLst>
        </cdr:cNvPr>
        <cdr:cNvCxnSpPr/>
      </cdr:nvCxnSpPr>
      <cdr:spPr>
        <a:xfrm xmlns:a="http://schemas.openxmlformats.org/drawingml/2006/main">
          <a:off x="4318000" y="1619250"/>
          <a:ext cx="6350" cy="231140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0.71967</cdr:x>
      <cdr:y>0.19395</cdr:y>
    </cdr:from>
    <cdr:to>
      <cdr:x>0.72027</cdr:x>
      <cdr:y>0.75912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0DC9E2F8-9B01-9855-E995-90F0FB169EE2}"/>
            </a:ext>
          </a:extLst>
        </cdr:cNvPr>
        <cdr:cNvCxnSpPr/>
      </cdr:nvCxnSpPr>
      <cdr:spPr>
        <a:xfrm xmlns:a="http://schemas.openxmlformats.org/drawingml/2006/main">
          <a:off x="5213531" y="1113084"/>
          <a:ext cx="4340" cy="324343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8DBC-4EDD-8A49-A78C-83F4988E636F}">
  <dimension ref="A1:O254"/>
  <sheetViews>
    <sheetView topLeftCell="B241" workbookViewId="0">
      <selection activeCell="M9" sqref="M9"/>
    </sheetView>
  </sheetViews>
  <sheetFormatPr baseColWidth="10" defaultColWidth="11" defaultRowHeight="16" x14ac:dyDescent="0.2"/>
  <cols>
    <col min="6" max="6" width="16.33203125" bestFit="1" customWidth="1"/>
    <col min="9" max="9" width="10.83203125" customWidth="1"/>
    <col min="10" max="10" width="0.1640625" customWidth="1"/>
    <col min="13" max="13" width="12.1640625" bestFit="1" customWidth="1"/>
    <col min="20" max="20" width="16.33203125" bestFit="1" customWidth="1"/>
  </cols>
  <sheetData>
    <row r="1" spans="1:15" x14ac:dyDescent="0.2">
      <c r="A1" t="s">
        <v>645</v>
      </c>
    </row>
    <row r="3" spans="1:15" ht="22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I3" s="2" t="s">
        <v>634</v>
      </c>
      <c r="L3" s="15"/>
      <c r="M3" s="15" t="s">
        <v>1975</v>
      </c>
      <c r="N3" s="25"/>
      <c r="O3" s="25"/>
    </row>
    <row r="4" spans="1:15" x14ac:dyDescent="0.2">
      <c r="B4" s="4" t="s">
        <v>644</v>
      </c>
      <c r="C4" s="5">
        <v>0.68569999999999998</v>
      </c>
      <c r="D4" s="5">
        <v>411346</v>
      </c>
      <c r="E4" s="5" t="s">
        <v>205</v>
      </c>
      <c r="F4" s="5" t="s">
        <v>114</v>
      </c>
      <c r="G4" s="5" t="s">
        <v>635</v>
      </c>
      <c r="I4">
        <f>LN(C4)-LN(C5)</f>
        <v>6.8659586754556023E-2</v>
      </c>
      <c r="L4" s="1" t="s">
        <v>640</v>
      </c>
      <c r="M4" s="22">
        <f>AVERAGE(I4:I254)</f>
        <v>-8.86760907408932E-3</v>
      </c>
    </row>
    <row r="5" spans="1:15" x14ac:dyDescent="0.2">
      <c r="B5" s="4" t="s">
        <v>6</v>
      </c>
      <c r="C5" s="5">
        <v>0.64019999999999999</v>
      </c>
      <c r="D5" s="5">
        <v>162959</v>
      </c>
      <c r="E5" s="5" t="s">
        <v>7</v>
      </c>
      <c r="F5" s="5" t="s">
        <v>8</v>
      </c>
      <c r="G5" s="5" t="s">
        <v>9</v>
      </c>
      <c r="I5">
        <f t="shared" ref="I5:I68" si="0">LN(C5)-LN(C6)</f>
        <v>2.9162129911109225E-2</v>
      </c>
      <c r="L5" s="1" t="s">
        <v>636</v>
      </c>
      <c r="M5" s="27">
        <f>_xlfn.VAR.S(I4:I254)</f>
        <v>2.6125958596861322E-2</v>
      </c>
    </row>
    <row r="6" spans="1:15" x14ac:dyDescent="0.2">
      <c r="B6" s="4" t="s">
        <v>10</v>
      </c>
      <c r="C6" s="5">
        <v>0.62180000000000002</v>
      </c>
      <c r="D6" s="5">
        <v>191520</v>
      </c>
      <c r="E6" s="5" t="s">
        <v>11</v>
      </c>
      <c r="F6" s="5" t="s">
        <v>12</v>
      </c>
      <c r="G6" s="5" t="s">
        <v>13</v>
      </c>
      <c r="I6">
        <f t="shared" si="0"/>
        <v>1.0346034736712084E-2</v>
      </c>
      <c r="L6" s="1" t="s">
        <v>639</v>
      </c>
      <c r="M6" s="27">
        <f>SQRT(M5)</f>
        <v>0.16163526408819742</v>
      </c>
    </row>
    <row r="7" spans="1:15" x14ac:dyDescent="0.2">
      <c r="B7" s="4" t="s">
        <v>14</v>
      </c>
      <c r="C7" s="5">
        <v>0.61539999999999995</v>
      </c>
      <c r="D7" s="5">
        <v>140412</v>
      </c>
      <c r="E7" s="5" t="s">
        <v>13</v>
      </c>
      <c r="F7" s="5" t="s">
        <v>15</v>
      </c>
      <c r="G7" s="5" t="s">
        <v>13</v>
      </c>
      <c r="I7">
        <f t="shared" si="0"/>
        <v>-1.8993006148256719E-2</v>
      </c>
      <c r="M7" s="18"/>
    </row>
    <row r="8" spans="1:15" x14ac:dyDescent="0.2">
      <c r="B8" s="6">
        <v>46359</v>
      </c>
      <c r="C8" s="5">
        <v>0.62719999999999998</v>
      </c>
      <c r="D8" s="5">
        <v>67202</v>
      </c>
      <c r="E8" s="5" t="s">
        <v>16</v>
      </c>
      <c r="F8" s="5" t="s">
        <v>17</v>
      </c>
      <c r="G8" s="5" t="s">
        <v>18</v>
      </c>
      <c r="I8">
        <f t="shared" si="0"/>
        <v>4.150648680989194E-2</v>
      </c>
      <c r="L8" s="1"/>
      <c r="M8" s="16" t="s">
        <v>1977</v>
      </c>
      <c r="N8" s="1" t="s">
        <v>1978</v>
      </c>
      <c r="O8" s="1" t="s">
        <v>1979</v>
      </c>
    </row>
    <row r="9" spans="1:15" x14ac:dyDescent="0.2">
      <c r="B9" s="6">
        <v>46329</v>
      </c>
      <c r="C9" s="5">
        <v>0.60170000000000001</v>
      </c>
      <c r="D9" s="5">
        <v>501583</v>
      </c>
      <c r="E9" s="5" t="s">
        <v>20</v>
      </c>
      <c r="F9" s="5" t="s">
        <v>21</v>
      </c>
      <c r="G9" s="5" t="s">
        <v>19</v>
      </c>
      <c r="I9">
        <f t="shared" si="0"/>
        <v>-0.10527741431569171</v>
      </c>
      <c r="L9" s="1" t="s">
        <v>637</v>
      </c>
      <c r="M9" s="27">
        <f>_xlfn.COVARIANCE.S(Kenechukwu!I4:I254,Morgan!I4:'Morgan'!I254)</f>
        <v>2.1523673414648956E-4</v>
      </c>
      <c r="N9" s="27">
        <f>_xlfn.COVARIANCE.S(Kenechukwu!I4:I254,Lisa!I4:'Lisa'!I254)</f>
        <v>3.1143538674375214E-4</v>
      </c>
      <c r="O9" s="27">
        <f>_xlfn.COVARIANCE.S(Morgan!I4:I254,Lisa!I4:I254)</f>
        <v>1.0409410922340643E-4</v>
      </c>
    </row>
    <row r="10" spans="1:15" x14ac:dyDescent="0.2">
      <c r="B10" s="6">
        <v>46298</v>
      </c>
      <c r="C10" s="5">
        <v>0.66849999999999998</v>
      </c>
      <c r="D10" s="5">
        <v>90264</v>
      </c>
      <c r="E10" s="5" t="s">
        <v>22</v>
      </c>
      <c r="F10" s="5" t="s">
        <v>23</v>
      </c>
      <c r="G10" s="5" t="s">
        <v>22</v>
      </c>
      <c r="I10">
        <f t="shared" si="0"/>
        <v>2.1929045084799093E-2</v>
      </c>
      <c r="L10" s="1" t="s">
        <v>638</v>
      </c>
      <c r="M10" s="27">
        <f>M9/(M6*Morgan!M5)</f>
        <v>5.5103214702408913E-2</v>
      </c>
      <c r="N10" s="1">
        <f>N9/(M6*Lisa!M6)</f>
        <v>7.5288013332299328E-2</v>
      </c>
      <c r="O10" s="1">
        <f>Morgan!O9/(Morgan!M5*Lisa!M6)</f>
        <v>0.16831267004451256</v>
      </c>
    </row>
    <row r="11" spans="1:15" x14ac:dyDescent="0.2">
      <c r="B11" s="6">
        <v>46268</v>
      </c>
      <c r="C11" s="5">
        <v>0.65400000000000003</v>
      </c>
      <c r="D11" s="5">
        <v>65974</v>
      </c>
      <c r="E11" s="5" t="s">
        <v>11</v>
      </c>
      <c r="F11" s="5" t="s">
        <v>25</v>
      </c>
      <c r="G11" s="5" t="s">
        <v>26</v>
      </c>
      <c r="I11">
        <f t="shared" si="0"/>
        <v>3.7228814509188968E-2</v>
      </c>
    </row>
    <row r="12" spans="1:15" x14ac:dyDescent="0.2">
      <c r="B12" s="6">
        <v>46176</v>
      </c>
      <c r="C12" s="5">
        <v>0.63009999999999999</v>
      </c>
      <c r="D12" s="5">
        <v>287516</v>
      </c>
      <c r="E12" s="5" t="s">
        <v>28</v>
      </c>
      <c r="F12" s="5" t="s">
        <v>29</v>
      </c>
      <c r="G12" s="5" t="s">
        <v>27</v>
      </c>
      <c r="I12">
        <f t="shared" si="0"/>
        <v>2.8003117216400863E-2</v>
      </c>
    </row>
    <row r="13" spans="1:15" x14ac:dyDescent="0.2">
      <c r="B13" s="6">
        <v>46145</v>
      </c>
      <c r="C13" s="5">
        <v>0.61270000000000002</v>
      </c>
      <c r="D13" s="5">
        <v>348316</v>
      </c>
      <c r="E13" s="5" t="s">
        <v>30</v>
      </c>
      <c r="F13" s="5" t="s">
        <v>31</v>
      </c>
      <c r="G13" s="5" t="s">
        <v>32</v>
      </c>
      <c r="I13">
        <f t="shared" si="0"/>
        <v>-1.1844058307528327E-2</v>
      </c>
    </row>
    <row r="14" spans="1:15" x14ac:dyDescent="0.2">
      <c r="B14" s="6">
        <v>46115</v>
      </c>
      <c r="C14" s="5">
        <v>0.62</v>
      </c>
      <c r="D14" s="5">
        <v>44852</v>
      </c>
      <c r="E14" s="5" t="s">
        <v>15</v>
      </c>
      <c r="F14" s="5" t="s">
        <v>15</v>
      </c>
      <c r="G14" s="5" t="s">
        <v>33</v>
      </c>
      <c r="I14">
        <f t="shared" si="0"/>
        <v>1.1028331041478268E-2</v>
      </c>
    </row>
    <row r="15" spans="1:15" x14ac:dyDescent="0.2">
      <c r="B15" s="6">
        <v>46084</v>
      </c>
      <c r="C15" s="5">
        <v>0.61319999999999997</v>
      </c>
      <c r="D15" s="5">
        <v>38357</v>
      </c>
      <c r="E15" s="5" t="s">
        <v>34</v>
      </c>
      <c r="F15" s="5" t="s">
        <v>35</v>
      </c>
      <c r="G15" s="5" t="s">
        <v>36</v>
      </c>
      <c r="I15">
        <f t="shared" si="0"/>
        <v>2.7761918704318767E-3</v>
      </c>
    </row>
    <row r="16" spans="1:15" x14ac:dyDescent="0.2">
      <c r="B16" s="6">
        <v>46056</v>
      </c>
      <c r="C16" s="5">
        <v>0.61150000000000004</v>
      </c>
      <c r="D16" s="5">
        <v>162526</v>
      </c>
      <c r="E16" s="5" t="s">
        <v>37</v>
      </c>
      <c r="F16" s="5" t="s">
        <v>24</v>
      </c>
      <c r="G16" s="5" t="s">
        <v>38</v>
      </c>
      <c r="I16">
        <f t="shared" si="0"/>
        <v>-5.9517761576862893E-2</v>
      </c>
    </row>
    <row r="17" spans="2:9" x14ac:dyDescent="0.2">
      <c r="B17" s="4" t="s">
        <v>39</v>
      </c>
      <c r="C17" s="5">
        <v>0.64900000000000002</v>
      </c>
      <c r="D17" s="5">
        <v>110301</v>
      </c>
      <c r="E17" s="5" t="s">
        <v>40</v>
      </c>
      <c r="F17" s="5" t="s">
        <v>30</v>
      </c>
      <c r="G17" s="5" t="s">
        <v>40</v>
      </c>
      <c r="I17">
        <f t="shared" si="0"/>
        <v>2.6228511526255049E-3</v>
      </c>
    </row>
    <row r="18" spans="2:9" x14ac:dyDescent="0.2">
      <c r="B18" s="4" t="s">
        <v>41</v>
      </c>
      <c r="C18" s="5">
        <v>0.64729999999999999</v>
      </c>
      <c r="D18" s="5">
        <v>69008</v>
      </c>
      <c r="E18" s="5" t="s">
        <v>42</v>
      </c>
      <c r="F18" s="5" t="s">
        <v>43</v>
      </c>
      <c r="G18" s="5" t="s">
        <v>44</v>
      </c>
      <c r="I18">
        <f t="shared" si="0"/>
        <v>-5.7630348738854198E-2</v>
      </c>
    </row>
    <row r="19" spans="2:9" x14ac:dyDescent="0.2">
      <c r="B19" s="4" t="s">
        <v>45</v>
      </c>
      <c r="C19" s="5">
        <v>0.68569999999999998</v>
      </c>
      <c r="D19" s="5">
        <v>133498</v>
      </c>
      <c r="E19" s="5" t="s">
        <v>46</v>
      </c>
      <c r="F19" s="5" t="s">
        <v>47</v>
      </c>
      <c r="G19" s="5" t="s">
        <v>48</v>
      </c>
      <c r="I19">
        <f t="shared" si="0"/>
        <v>7.2944784035378074E-4</v>
      </c>
    </row>
    <row r="20" spans="2:9" x14ac:dyDescent="0.2">
      <c r="B20" s="4" t="s">
        <v>49</v>
      </c>
      <c r="C20" s="5">
        <v>0.68520000000000003</v>
      </c>
      <c r="D20" s="5">
        <v>116834</v>
      </c>
      <c r="E20" s="5" t="s">
        <v>50</v>
      </c>
      <c r="F20" s="5" t="s">
        <v>50</v>
      </c>
      <c r="G20" s="5" t="s">
        <v>51</v>
      </c>
      <c r="I20">
        <f t="shared" si="0"/>
        <v>-5.783924837483112E-2</v>
      </c>
    </row>
    <row r="21" spans="2:9" x14ac:dyDescent="0.2">
      <c r="B21" s="4" t="s">
        <v>52</v>
      </c>
      <c r="C21" s="5">
        <v>0.72599999999999998</v>
      </c>
      <c r="D21" s="5">
        <v>309455</v>
      </c>
      <c r="E21" s="5" t="s">
        <v>53</v>
      </c>
      <c r="F21" s="5" t="s">
        <v>54</v>
      </c>
      <c r="G21" s="5" t="s">
        <v>55</v>
      </c>
      <c r="I21">
        <f t="shared" si="0"/>
        <v>-2.9050502226587449E-2</v>
      </c>
    </row>
    <row r="22" spans="2:9" x14ac:dyDescent="0.2">
      <c r="B22" s="4" t="s">
        <v>56</v>
      </c>
      <c r="C22" s="5">
        <v>0.74739999999999995</v>
      </c>
      <c r="D22" s="5">
        <v>252893</v>
      </c>
      <c r="E22" s="5" t="s">
        <v>57</v>
      </c>
      <c r="F22" s="5" t="s">
        <v>58</v>
      </c>
      <c r="G22" s="5" t="s">
        <v>59</v>
      </c>
      <c r="I22">
        <f t="shared" si="0"/>
        <v>-2.6016653913867149E-2</v>
      </c>
    </row>
    <row r="23" spans="2:9" x14ac:dyDescent="0.2">
      <c r="B23" s="4" t="s">
        <v>60</v>
      </c>
      <c r="C23" s="5">
        <v>0.7671</v>
      </c>
      <c r="D23" s="5">
        <v>217604</v>
      </c>
      <c r="E23" s="5" t="s">
        <v>61</v>
      </c>
      <c r="F23" s="5" t="s">
        <v>61</v>
      </c>
      <c r="G23" s="5" t="s">
        <v>62</v>
      </c>
      <c r="I23">
        <f t="shared" si="0"/>
        <v>-3.143904276315998E-2</v>
      </c>
    </row>
    <row r="24" spans="2:9" x14ac:dyDescent="0.2">
      <c r="B24" s="4" t="s">
        <v>63</v>
      </c>
      <c r="C24" s="5">
        <v>0.79159999999999997</v>
      </c>
      <c r="D24" s="5">
        <v>242701</v>
      </c>
      <c r="E24" s="5" t="s">
        <v>65</v>
      </c>
      <c r="F24" s="5" t="s">
        <v>66</v>
      </c>
      <c r="G24" s="5" t="s">
        <v>64</v>
      </c>
      <c r="I24">
        <f t="shared" si="0"/>
        <v>-4.9295342255447266E-2</v>
      </c>
    </row>
    <row r="25" spans="2:9" x14ac:dyDescent="0.2">
      <c r="B25" s="4" t="s">
        <v>67</v>
      </c>
      <c r="C25" s="5">
        <v>0.83160000000000001</v>
      </c>
      <c r="D25" s="5">
        <v>113504</v>
      </c>
      <c r="E25" s="5" t="s">
        <v>68</v>
      </c>
      <c r="F25" s="5" t="s">
        <v>68</v>
      </c>
      <c r="G25" s="5" t="s">
        <v>69</v>
      </c>
      <c r="I25">
        <f t="shared" si="0"/>
        <v>-9.2166551049240319E-3</v>
      </c>
    </row>
    <row r="26" spans="2:9" x14ac:dyDescent="0.2">
      <c r="B26" s="4" t="s">
        <v>70</v>
      </c>
      <c r="C26" s="5">
        <v>0.83930000000000005</v>
      </c>
      <c r="D26" s="5">
        <v>161009</v>
      </c>
      <c r="E26" s="5" t="s">
        <v>71</v>
      </c>
      <c r="F26" s="5" t="s">
        <v>72</v>
      </c>
      <c r="G26" s="5" t="s">
        <v>71</v>
      </c>
      <c r="I26">
        <f t="shared" si="0"/>
        <v>8.6697311737285232E-2</v>
      </c>
    </row>
    <row r="27" spans="2:9" x14ac:dyDescent="0.2">
      <c r="B27" s="6">
        <v>46358</v>
      </c>
      <c r="C27" s="5">
        <v>0.76959999999999995</v>
      </c>
      <c r="D27" s="5">
        <v>129508</v>
      </c>
      <c r="E27" s="5" t="s">
        <v>73</v>
      </c>
      <c r="F27" s="5" t="s">
        <v>74</v>
      </c>
      <c r="G27" s="5" t="s">
        <v>75</v>
      </c>
      <c r="I27">
        <f t="shared" si="0"/>
        <v>1.3869121955866759E-2</v>
      </c>
    </row>
    <row r="28" spans="2:9" x14ac:dyDescent="0.2">
      <c r="B28" s="6">
        <v>46328</v>
      </c>
      <c r="C28" s="5">
        <v>0.75900000000000001</v>
      </c>
      <c r="D28" s="5">
        <v>63715</v>
      </c>
      <c r="E28" s="5" t="s">
        <v>76</v>
      </c>
      <c r="F28" s="5" t="s">
        <v>77</v>
      </c>
      <c r="G28" s="5" t="s">
        <v>78</v>
      </c>
      <c r="I28">
        <f t="shared" si="0"/>
        <v>9.2654534457901061E-3</v>
      </c>
    </row>
    <row r="29" spans="2:9" x14ac:dyDescent="0.2">
      <c r="B29" s="6">
        <v>46297</v>
      </c>
      <c r="C29" s="5">
        <v>0.752</v>
      </c>
      <c r="D29" s="5">
        <v>82418</v>
      </c>
      <c r="E29" s="5" t="s">
        <v>80</v>
      </c>
      <c r="F29" s="5" t="s">
        <v>81</v>
      </c>
      <c r="G29" s="5" t="s">
        <v>79</v>
      </c>
      <c r="I29">
        <f t="shared" si="0"/>
        <v>-6.1875403718087529E-2</v>
      </c>
    </row>
    <row r="30" spans="2:9" x14ac:dyDescent="0.2">
      <c r="B30" s="6">
        <v>46267</v>
      </c>
      <c r="C30" s="5">
        <v>0.8</v>
      </c>
      <c r="D30" s="5">
        <v>64595</v>
      </c>
      <c r="E30" s="5" t="s">
        <v>82</v>
      </c>
      <c r="F30" s="5" t="s">
        <v>83</v>
      </c>
      <c r="G30" s="5" t="s">
        <v>82</v>
      </c>
      <c r="I30">
        <f t="shared" si="0"/>
        <v>3.8221212820197803E-2</v>
      </c>
    </row>
    <row r="31" spans="2:9" x14ac:dyDescent="0.2">
      <c r="B31" s="6">
        <v>46175</v>
      </c>
      <c r="C31" s="5">
        <v>0.77</v>
      </c>
      <c r="D31" s="5">
        <v>71604</v>
      </c>
      <c r="E31" s="5" t="s">
        <v>75</v>
      </c>
      <c r="F31" s="5" t="s">
        <v>84</v>
      </c>
      <c r="G31" s="5" t="s">
        <v>85</v>
      </c>
      <c r="I31">
        <f t="shared" si="0"/>
        <v>2.5650863774212995E-2</v>
      </c>
    </row>
    <row r="32" spans="2:9" x14ac:dyDescent="0.2">
      <c r="B32" s="6">
        <v>46144</v>
      </c>
      <c r="C32" s="5">
        <v>0.75049999999999994</v>
      </c>
      <c r="D32" s="5">
        <v>164799</v>
      </c>
      <c r="E32" s="5" t="s">
        <v>86</v>
      </c>
      <c r="F32" s="5" t="s">
        <v>87</v>
      </c>
      <c r="G32" s="5" t="s">
        <v>88</v>
      </c>
      <c r="I32">
        <f t="shared" si="0"/>
        <v>-0.11325730177515378</v>
      </c>
    </row>
    <row r="33" spans="2:9" x14ac:dyDescent="0.2">
      <c r="B33" s="6">
        <v>46114</v>
      </c>
      <c r="C33" s="5">
        <v>0.84050000000000002</v>
      </c>
      <c r="D33" s="5">
        <v>125425</v>
      </c>
      <c r="E33" s="5" t="s">
        <v>89</v>
      </c>
      <c r="F33" s="5" t="s">
        <v>90</v>
      </c>
      <c r="G33" s="5" t="s">
        <v>91</v>
      </c>
      <c r="I33">
        <f t="shared" si="0"/>
        <v>7.523771085825387E-3</v>
      </c>
    </row>
    <row r="34" spans="2:9" x14ac:dyDescent="0.2">
      <c r="B34" s="6">
        <v>46083</v>
      </c>
      <c r="C34" s="5">
        <v>0.83420000000000005</v>
      </c>
      <c r="D34" s="5">
        <v>221840</v>
      </c>
      <c r="E34" s="5" t="s">
        <v>92</v>
      </c>
      <c r="F34" s="5" t="s">
        <v>93</v>
      </c>
      <c r="G34" s="5" t="s">
        <v>94</v>
      </c>
      <c r="I34">
        <f t="shared" si="0"/>
        <v>-1.9703901563237203E-2</v>
      </c>
    </row>
    <row r="35" spans="2:9" x14ac:dyDescent="0.2">
      <c r="B35" s="6">
        <v>46055</v>
      </c>
      <c r="C35" s="5">
        <v>0.8508</v>
      </c>
      <c r="D35" s="5">
        <v>188070</v>
      </c>
      <c r="E35" s="5" t="s">
        <v>95</v>
      </c>
      <c r="F35" s="5" t="s">
        <v>96</v>
      </c>
      <c r="G35" s="5" t="s">
        <v>97</v>
      </c>
      <c r="I35">
        <f t="shared" si="0"/>
        <v>-4.924385610678067E-3</v>
      </c>
    </row>
    <row r="36" spans="2:9" x14ac:dyDescent="0.2">
      <c r="B36" s="4" t="s">
        <v>98</v>
      </c>
      <c r="C36" s="5">
        <v>0.85499999999999998</v>
      </c>
      <c r="D36" s="5">
        <v>81826</v>
      </c>
      <c r="E36" s="5" t="s">
        <v>99</v>
      </c>
      <c r="F36" s="5" t="s">
        <v>100</v>
      </c>
      <c r="G36" s="5" t="s">
        <v>99</v>
      </c>
      <c r="I36">
        <f t="shared" si="0"/>
        <v>4.5462374076757378E-2</v>
      </c>
    </row>
    <row r="37" spans="2:9" x14ac:dyDescent="0.2">
      <c r="B37" s="4" t="s">
        <v>101</v>
      </c>
      <c r="C37" s="5">
        <v>0.81699999999999995</v>
      </c>
      <c r="D37" s="5">
        <v>169726</v>
      </c>
      <c r="E37" s="5" t="s">
        <v>102</v>
      </c>
      <c r="F37" s="5" t="s">
        <v>103</v>
      </c>
      <c r="G37" s="5" t="s">
        <v>104</v>
      </c>
      <c r="I37">
        <f t="shared" si="0"/>
        <v>1.4175892242973775E-2</v>
      </c>
    </row>
    <row r="38" spans="2:9" x14ac:dyDescent="0.2">
      <c r="B38" s="4" t="s">
        <v>105</v>
      </c>
      <c r="C38" s="5">
        <v>0.80549999999999999</v>
      </c>
      <c r="D38" s="5">
        <v>108517</v>
      </c>
      <c r="E38" s="5" t="s">
        <v>106</v>
      </c>
      <c r="F38" s="5" t="s">
        <v>107</v>
      </c>
      <c r="G38" s="5" t="s">
        <v>108</v>
      </c>
      <c r="I38">
        <f t="shared" si="0"/>
        <v>2.5779484834620586E-2</v>
      </c>
    </row>
    <row r="39" spans="2:9" x14ac:dyDescent="0.2">
      <c r="B39" s="4" t="s">
        <v>109</v>
      </c>
      <c r="C39" s="5">
        <v>0.78500000000000003</v>
      </c>
      <c r="D39" s="5">
        <v>208261</v>
      </c>
      <c r="E39" s="5" t="s">
        <v>110</v>
      </c>
      <c r="F39" s="5" t="s">
        <v>111</v>
      </c>
      <c r="G39" s="5" t="s">
        <v>112</v>
      </c>
      <c r="I39">
        <f t="shared" si="0"/>
        <v>0.11460338273900386</v>
      </c>
    </row>
    <row r="40" spans="2:9" x14ac:dyDescent="0.2">
      <c r="B40" s="4" t="s">
        <v>113</v>
      </c>
      <c r="C40" s="5">
        <v>0.7</v>
      </c>
      <c r="D40" s="5">
        <v>523752</v>
      </c>
      <c r="E40" s="5" t="s">
        <v>115</v>
      </c>
      <c r="F40" s="5" t="s">
        <v>116</v>
      </c>
      <c r="G40" s="5" t="s">
        <v>114</v>
      </c>
      <c r="I40">
        <f t="shared" si="0"/>
        <v>-0.22940959289285617</v>
      </c>
    </row>
    <row r="41" spans="2:9" x14ac:dyDescent="0.2">
      <c r="B41" s="4" t="s">
        <v>117</v>
      </c>
      <c r="C41" s="5">
        <v>0.88049999999999995</v>
      </c>
      <c r="D41" s="5">
        <v>314242</v>
      </c>
      <c r="E41" s="5" t="s">
        <v>118</v>
      </c>
      <c r="F41" s="5" t="s">
        <v>119</v>
      </c>
      <c r="G41" s="5" t="s">
        <v>120</v>
      </c>
      <c r="I41">
        <f t="shared" si="0"/>
        <v>0.10214781328192882</v>
      </c>
    </row>
    <row r="42" spans="2:9" x14ac:dyDescent="0.2">
      <c r="B42" s="4" t="s">
        <v>121</v>
      </c>
      <c r="C42" s="5">
        <v>0.79500000000000004</v>
      </c>
      <c r="D42" s="5">
        <v>152017</v>
      </c>
      <c r="E42" s="5" t="s">
        <v>122</v>
      </c>
      <c r="F42" s="5" t="s">
        <v>97</v>
      </c>
      <c r="G42" s="5" t="s">
        <v>122</v>
      </c>
      <c r="I42">
        <f t="shared" si="0"/>
        <v>0</v>
      </c>
    </row>
    <row r="43" spans="2:9" x14ac:dyDescent="0.2">
      <c r="B43" s="4" t="s">
        <v>123</v>
      </c>
      <c r="C43" s="5">
        <v>0.79500000000000004</v>
      </c>
      <c r="D43" s="5">
        <v>1339896</v>
      </c>
      <c r="E43" s="5" t="s">
        <v>124</v>
      </c>
      <c r="F43" s="5" t="s">
        <v>125</v>
      </c>
      <c r="G43" s="5" t="s">
        <v>75</v>
      </c>
      <c r="I43">
        <f t="shared" si="0"/>
        <v>3.1302459894161555E-2</v>
      </c>
    </row>
    <row r="44" spans="2:9" x14ac:dyDescent="0.2">
      <c r="B44" s="4" t="s">
        <v>126</v>
      </c>
      <c r="C44" s="5">
        <v>0.77049999999999996</v>
      </c>
      <c r="D44" s="5">
        <v>556146</v>
      </c>
      <c r="E44" s="5" t="s">
        <v>127</v>
      </c>
      <c r="F44" s="5" t="s">
        <v>104</v>
      </c>
      <c r="G44" s="5" t="s">
        <v>128</v>
      </c>
      <c r="I44">
        <f t="shared" si="0"/>
        <v>0.1373767295567847</v>
      </c>
    </row>
    <row r="45" spans="2:9" x14ac:dyDescent="0.2">
      <c r="B45" s="4" t="s">
        <v>129</v>
      </c>
      <c r="C45" s="5">
        <v>0.67159999999999997</v>
      </c>
      <c r="D45" s="5">
        <v>1621332</v>
      </c>
      <c r="E45" s="5" t="s">
        <v>130</v>
      </c>
      <c r="F45" s="5" t="s">
        <v>131</v>
      </c>
      <c r="G45" s="5" t="s">
        <v>130</v>
      </c>
      <c r="I45">
        <f t="shared" si="0"/>
        <v>0.22496921921450624</v>
      </c>
    </row>
    <row r="46" spans="2:9" x14ac:dyDescent="0.2">
      <c r="B46" s="4" t="s">
        <v>132</v>
      </c>
      <c r="C46" s="5">
        <v>0.5363</v>
      </c>
      <c r="D46" s="5">
        <v>404532</v>
      </c>
      <c r="E46" s="5" t="s">
        <v>133</v>
      </c>
      <c r="F46" s="5" t="s">
        <v>134</v>
      </c>
      <c r="G46" s="5" t="s">
        <v>135</v>
      </c>
      <c r="I46">
        <f t="shared" si="0"/>
        <v>0.10820292967981571</v>
      </c>
    </row>
    <row r="47" spans="2:9" x14ac:dyDescent="0.2">
      <c r="B47" s="4" t="s">
        <v>136</v>
      </c>
      <c r="C47" s="5">
        <v>0.48130000000000001</v>
      </c>
      <c r="D47" s="5">
        <v>283098</v>
      </c>
      <c r="E47" s="5" t="s">
        <v>137</v>
      </c>
      <c r="F47" s="5" t="s">
        <v>138</v>
      </c>
      <c r="G47" s="5" t="s">
        <v>139</v>
      </c>
      <c r="I47">
        <f t="shared" si="0"/>
        <v>4.006045895089605E-2</v>
      </c>
    </row>
    <row r="48" spans="2:9" x14ac:dyDescent="0.2">
      <c r="B48" s="4" t="s">
        <v>140</v>
      </c>
      <c r="C48" s="5">
        <v>0.46239999999999998</v>
      </c>
      <c r="D48" s="5">
        <v>233502</v>
      </c>
      <c r="E48" s="5" t="s">
        <v>141</v>
      </c>
      <c r="F48" s="5" t="s">
        <v>142</v>
      </c>
      <c r="G48" s="5" t="s">
        <v>141</v>
      </c>
      <c r="I48">
        <f t="shared" si="0"/>
        <v>-4.324324391711265E-4</v>
      </c>
    </row>
    <row r="49" spans="2:9" x14ac:dyDescent="0.2">
      <c r="B49" s="6">
        <v>46357</v>
      </c>
      <c r="C49" s="5">
        <v>0.46260000000000001</v>
      </c>
      <c r="D49" s="5">
        <v>208128</v>
      </c>
      <c r="E49" s="5" t="s">
        <v>143</v>
      </c>
      <c r="F49" s="5" t="s">
        <v>144</v>
      </c>
      <c r="G49" s="5" t="s">
        <v>143</v>
      </c>
      <c r="I49">
        <f t="shared" si="0"/>
        <v>1.7004987920957837E-2</v>
      </c>
    </row>
    <row r="50" spans="2:9" x14ac:dyDescent="0.2">
      <c r="B50" s="6">
        <v>46266</v>
      </c>
      <c r="C50" s="5">
        <v>0.45479999999999998</v>
      </c>
      <c r="D50" s="5">
        <v>277426</v>
      </c>
      <c r="E50" s="5" t="s">
        <v>145</v>
      </c>
      <c r="F50" s="5" t="s">
        <v>146</v>
      </c>
      <c r="G50" s="5" t="s">
        <v>147</v>
      </c>
      <c r="I50">
        <f t="shared" si="0"/>
        <v>5.8400842948364007E-2</v>
      </c>
    </row>
    <row r="51" spans="2:9" x14ac:dyDescent="0.2">
      <c r="B51" s="6">
        <v>46235</v>
      </c>
      <c r="C51" s="5">
        <v>0.42899999999999999</v>
      </c>
      <c r="D51" s="5">
        <v>406541</v>
      </c>
      <c r="E51" s="5" t="s">
        <v>148</v>
      </c>
      <c r="F51" s="5" t="s">
        <v>149</v>
      </c>
      <c r="G51" s="5" t="s">
        <v>150</v>
      </c>
      <c r="I51">
        <f t="shared" si="0"/>
        <v>-0.10543044328276308</v>
      </c>
    </row>
    <row r="52" spans="2:9" x14ac:dyDescent="0.2">
      <c r="B52" s="6">
        <v>46204</v>
      </c>
      <c r="C52" s="5">
        <v>0.47670000000000001</v>
      </c>
      <c r="D52" s="5">
        <v>936817</v>
      </c>
      <c r="E52" s="5" t="s">
        <v>151</v>
      </c>
      <c r="F52" s="5" t="s">
        <v>152</v>
      </c>
      <c r="G52" s="5" t="s">
        <v>153</v>
      </c>
      <c r="I52">
        <f t="shared" si="0"/>
        <v>0.1716798288239636</v>
      </c>
    </row>
    <row r="53" spans="2:9" x14ac:dyDescent="0.2">
      <c r="B53" s="6">
        <v>46174</v>
      </c>
      <c r="C53" s="5">
        <v>0.40150000000000002</v>
      </c>
      <c r="D53" s="5">
        <v>1291086</v>
      </c>
      <c r="E53" s="5" t="s">
        <v>155</v>
      </c>
      <c r="F53" s="5" t="s">
        <v>156</v>
      </c>
      <c r="G53" s="5" t="s">
        <v>157</v>
      </c>
      <c r="I53">
        <f t="shared" si="0"/>
        <v>-5.2164645659461439E-2</v>
      </c>
    </row>
    <row r="54" spans="2:9" x14ac:dyDescent="0.2">
      <c r="B54" s="6">
        <v>46143</v>
      </c>
      <c r="C54" s="5">
        <v>0.42299999999999999</v>
      </c>
      <c r="D54" s="5">
        <v>450794</v>
      </c>
      <c r="E54" s="5" t="s">
        <v>158</v>
      </c>
      <c r="F54" s="5" t="s">
        <v>158</v>
      </c>
      <c r="G54" s="5" t="s">
        <v>159</v>
      </c>
      <c r="I54">
        <f t="shared" si="0"/>
        <v>-4.4390089377068009E-2</v>
      </c>
    </row>
    <row r="55" spans="2:9" x14ac:dyDescent="0.2">
      <c r="B55" s="6">
        <v>46054</v>
      </c>
      <c r="C55" s="5">
        <v>0.44219999999999998</v>
      </c>
      <c r="D55" s="5">
        <v>517065</v>
      </c>
      <c r="E55" s="5" t="s">
        <v>160</v>
      </c>
      <c r="F55" s="5" t="s">
        <v>161</v>
      </c>
      <c r="G55" s="5" t="s">
        <v>162</v>
      </c>
      <c r="I55">
        <f t="shared" si="0"/>
        <v>7.5605108724992487E-2</v>
      </c>
    </row>
    <row r="56" spans="2:9" x14ac:dyDescent="0.2">
      <c r="B56" s="4" t="s">
        <v>163</v>
      </c>
      <c r="C56" s="5">
        <v>0.41</v>
      </c>
      <c r="D56" s="5">
        <v>277152</v>
      </c>
      <c r="E56" s="5" t="s">
        <v>165</v>
      </c>
      <c r="F56" s="5" t="s">
        <v>166</v>
      </c>
      <c r="G56" s="5" t="s">
        <v>167</v>
      </c>
      <c r="I56">
        <f t="shared" si="0"/>
        <v>6.6296162445446782E-2</v>
      </c>
    </row>
    <row r="57" spans="2:9" x14ac:dyDescent="0.2">
      <c r="B57" s="4" t="s">
        <v>168</v>
      </c>
      <c r="C57" s="5">
        <v>0.38369999999999999</v>
      </c>
      <c r="D57" s="5">
        <v>480072</v>
      </c>
      <c r="E57" s="5" t="s">
        <v>169</v>
      </c>
      <c r="F57" s="5" t="s">
        <v>170</v>
      </c>
      <c r="G57" s="5" t="s">
        <v>171</v>
      </c>
      <c r="I57">
        <f t="shared" si="0"/>
        <v>-4.8082515952784455E-2</v>
      </c>
    </row>
    <row r="58" spans="2:9" x14ac:dyDescent="0.2">
      <c r="B58" s="4" t="s">
        <v>172</v>
      </c>
      <c r="C58" s="5">
        <v>0.40260000000000001</v>
      </c>
      <c r="D58" s="5">
        <v>591420</v>
      </c>
      <c r="E58" s="5" t="s">
        <v>173</v>
      </c>
      <c r="F58" s="5" t="s">
        <v>164</v>
      </c>
      <c r="G58" s="5" t="s">
        <v>174</v>
      </c>
      <c r="I58">
        <f t="shared" si="0"/>
        <v>3.1796774081998991E-2</v>
      </c>
    </row>
    <row r="59" spans="2:9" x14ac:dyDescent="0.2">
      <c r="B59" s="4" t="s">
        <v>175</v>
      </c>
      <c r="C59" s="5">
        <v>0.39</v>
      </c>
      <c r="D59" s="5">
        <v>966927</v>
      </c>
      <c r="E59" s="5" t="s">
        <v>177</v>
      </c>
      <c r="F59" s="5" t="s">
        <v>178</v>
      </c>
      <c r="G59" s="5" t="s">
        <v>176</v>
      </c>
      <c r="I59">
        <f t="shared" si="0"/>
        <v>-5.0010420574661318E-2</v>
      </c>
    </row>
    <row r="60" spans="2:9" x14ac:dyDescent="0.2">
      <c r="B60" s="4" t="s">
        <v>179</v>
      </c>
      <c r="C60" s="5">
        <v>0.41</v>
      </c>
      <c r="D60" s="5">
        <v>497949</v>
      </c>
      <c r="E60" s="5" t="s">
        <v>180</v>
      </c>
      <c r="F60" s="5" t="s">
        <v>180</v>
      </c>
      <c r="G60" s="5" t="s">
        <v>154</v>
      </c>
      <c r="I60">
        <f t="shared" si="0"/>
        <v>-3.1215019347924478E-2</v>
      </c>
    </row>
    <row r="61" spans="2:9" x14ac:dyDescent="0.2">
      <c r="B61" s="4" t="s">
        <v>181</v>
      </c>
      <c r="C61" s="5">
        <v>0.42299999999999999</v>
      </c>
      <c r="D61" s="5">
        <v>545884</v>
      </c>
      <c r="E61" s="5" t="s">
        <v>164</v>
      </c>
      <c r="F61" s="5" t="s">
        <v>182</v>
      </c>
      <c r="G61" s="5" t="s">
        <v>183</v>
      </c>
      <c r="I61">
        <f t="shared" si="0"/>
        <v>2.2231105578912058E-2</v>
      </c>
    </row>
    <row r="62" spans="2:9" x14ac:dyDescent="0.2">
      <c r="B62" s="4" t="s">
        <v>184</v>
      </c>
      <c r="C62" s="5">
        <v>0.41370000000000001</v>
      </c>
      <c r="D62" s="5">
        <v>1054069</v>
      </c>
      <c r="E62" s="5" t="s">
        <v>185</v>
      </c>
      <c r="F62" s="5" t="s">
        <v>186</v>
      </c>
      <c r="G62" s="5" t="s">
        <v>154</v>
      </c>
      <c r="I62">
        <f t="shared" si="0"/>
        <v>-4.1430946127421597E-2</v>
      </c>
    </row>
    <row r="63" spans="2:9" x14ac:dyDescent="0.2">
      <c r="B63" s="4" t="s">
        <v>187</v>
      </c>
      <c r="C63" s="5">
        <v>0.43120000000000003</v>
      </c>
      <c r="D63" s="5">
        <v>448690</v>
      </c>
      <c r="E63" s="5" t="s">
        <v>188</v>
      </c>
      <c r="F63" s="5" t="s">
        <v>189</v>
      </c>
      <c r="G63" s="5" t="s">
        <v>159</v>
      </c>
      <c r="I63">
        <f t="shared" si="0"/>
        <v>2.8701099672649777E-2</v>
      </c>
    </row>
    <row r="64" spans="2:9" x14ac:dyDescent="0.2">
      <c r="B64" s="4" t="s">
        <v>190</v>
      </c>
      <c r="C64" s="5">
        <v>0.41899999999999998</v>
      </c>
      <c r="D64" s="5">
        <v>623537</v>
      </c>
      <c r="E64" s="5" t="s">
        <v>191</v>
      </c>
      <c r="F64" s="5" t="s">
        <v>192</v>
      </c>
      <c r="G64" s="5" t="s">
        <v>193</v>
      </c>
      <c r="I64">
        <f t="shared" si="0"/>
        <v>-2.0551095310725298E-2</v>
      </c>
    </row>
    <row r="65" spans="2:9" x14ac:dyDescent="0.2">
      <c r="B65" s="4" t="s">
        <v>194</v>
      </c>
      <c r="C65" s="5">
        <v>0.42770000000000002</v>
      </c>
      <c r="D65" s="5">
        <v>817470</v>
      </c>
      <c r="E65" s="5" t="s">
        <v>195</v>
      </c>
      <c r="F65" s="5" t="s">
        <v>196</v>
      </c>
      <c r="G65" s="5" t="s">
        <v>162</v>
      </c>
      <c r="I65">
        <f t="shared" si="0"/>
        <v>-0.12366289148376874</v>
      </c>
    </row>
    <row r="66" spans="2:9" x14ac:dyDescent="0.2">
      <c r="B66" s="4" t="s">
        <v>197</v>
      </c>
      <c r="C66" s="5">
        <v>0.48399999999999999</v>
      </c>
      <c r="D66" s="5">
        <v>1299343</v>
      </c>
      <c r="E66" s="5" t="s">
        <v>198</v>
      </c>
      <c r="F66" s="5" t="s">
        <v>199</v>
      </c>
      <c r="G66" s="5" t="s">
        <v>200</v>
      </c>
      <c r="I66">
        <f t="shared" si="0"/>
        <v>-0.10204925435417034</v>
      </c>
    </row>
    <row r="67" spans="2:9" x14ac:dyDescent="0.2">
      <c r="B67" s="4" t="s">
        <v>201</v>
      </c>
      <c r="C67" s="5">
        <v>0.53600000000000003</v>
      </c>
      <c r="D67" s="5">
        <v>2279133</v>
      </c>
      <c r="E67" s="5" t="s">
        <v>202</v>
      </c>
      <c r="F67" s="5" t="s">
        <v>203</v>
      </c>
      <c r="G67" s="5" t="s">
        <v>204</v>
      </c>
      <c r="I67">
        <f t="shared" si="0"/>
        <v>-0.14397111161379406</v>
      </c>
    </row>
    <row r="68" spans="2:9" x14ac:dyDescent="0.2">
      <c r="B68" s="6">
        <v>46003</v>
      </c>
      <c r="C68" s="5">
        <v>0.61899999999999999</v>
      </c>
      <c r="D68" s="5">
        <v>269817</v>
      </c>
      <c r="E68" s="5" t="s">
        <v>205</v>
      </c>
      <c r="F68" s="5" t="s">
        <v>205</v>
      </c>
      <c r="G68" s="5" t="s">
        <v>13</v>
      </c>
      <c r="I68">
        <f t="shared" si="0"/>
        <v>-3.1955663971640014E-2</v>
      </c>
    </row>
    <row r="69" spans="2:9" x14ac:dyDescent="0.2">
      <c r="B69" s="6">
        <v>45973</v>
      </c>
      <c r="C69" s="5">
        <v>0.6391</v>
      </c>
      <c r="D69" s="5">
        <v>374228</v>
      </c>
      <c r="E69" s="5" t="s">
        <v>206</v>
      </c>
      <c r="F69" s="5" t="s">
        <v>206</v>
      </c>
      <c r="G69" s="5" t="s">
        <v>11</v>
      </c>
      <c r="I69">
        <f t="shared" ref="I69:I132" si="1">LN(C69)-LN(C70)</f>
        <v>-5.2427059194182557E-2</v>
      </c>
    </row>
    <row r="70" spans="2:9" x14ac:dyDescent="0.2">
      <c r="B70" s="6">
        <v>45942</v>
      </c>
      <c r="C70" s="5">
        <v>0.67349999999999999</v>
      </c>
      <c r="D70" s="5">
        <v>274427</v>
      </c>
      <c r="E70" s="5" t="s">
        <v>207</v>
      </c>
      <c r="F70" s="5" t="s">
        <v>208</v>
      </c>
      <c r="G70" s="5" t="s">
        <v>209</v>
      </c>
      <c r="I70">
        <f t="shared" si="1"/>
        <v>1.8734155998732349E-2</v>
      </c>
    </row>
    <row r="71" spans="2:9" x14ac:dyDescent="0.2">
      <c r="B71" s="6">
        <v>45912</v>
      </c>
      <c r="C71" s="5">
        <v>0.66100000000000003</v>
      </c>
      <c r="D71" s="5">
        <v>407080</v>
      </c>
      <c r="E71" s="5" t="s">
        <v>210</v>
      </c>
      <c r="F71" s="5" t="s">
        <v>211</v>
      </c>
      <c r="G71" s="5" t="s">
        <v>212</v>
      </c>
      <c r="I71">
        <f t="shared" si="1"/>
        <v>-5.5896902382123859E-2</v>
      </c>
    </row>
    <row r="72" spans="2:9" x14ac:dyDescent="0.2">
      <c r="B72" s="6">
        <v>45881</v>
      </c>
      <c r="C72" s="5">
        <v>0.69899999999999995</v>
      </c>
      <c r="D72" s="5">
        <v>433689</v>
      </c>
      <c r="E72" s="5" t="s">
        <v>213</v>
      </c>
      <c r="F72" s="5" t="s">
        <v>76</v>
      </c>
      <c r="G72" s="5" t="s">
        <v>214</v>
      </c>
      <c r="I72">
        <f t="shared" si="1"/>
        <v>-4.3530768828229871E-2</v>
      </c>
    </row>
    <row r="73" spans="2:9" x14ac:dyDescent="0.2">
      <c r="B73" s="6">
        <v>45789</v>
      </c>
      <c r="C73" s="5">
        <v>0.73009999999999997</v>
      </c>
      <c r="D73" s="5">
        <v>472206</v>
      </c>
      <c r="E73" s="5" t="s">
        <v>215</v>
      </c>
      <c r="F73" s="5" t="s">
        <v>215</v>
      </c>
      <c r="G73" s="5" t="s">
        <v>216</v>
      </c>
      <c r="I73">
        <f t="shared" si="1"/>
        <v>-0.10385273660444447</v>
      </c>
    </row>
    <row r="74" spans="2:9" x14ac:dyDescent="0.2">
      <c r="B74" s="6">
        <v>45759</v>
      </c>
      <c r="C74" s="5">
        <v>0.81</v>
      </c>
      <c r="D74" s="5">
        <v>951922</v>
      </c>
      <c r="E74" s="5" t="s">
        <v>217</v>
      </c>
      <c r="F74" s="5" t="s">
        <v>118</v>
      </c>
      <c r="G74" s="5" t="s">
        <v>218</v>
      </c>
      <c r="I74">
        <f t="shared" si="1"/>
        <v>5.3635215832631616E-2</v>
      </c>
    </row>
    <row r="75" spans="2:9" x14ac:dyDescent="0.2">
      <c r="B75" s="6">
        <v>45728</v>
      </c>
      <c r="C75" s="5">
        <v>0.76770000000000005</v>
      </c>
      <c r="D75" s="5">
        <v>584973</v>
      </c>
      <c r="E75" s="5" t="s">
        <v>219</v>
      </c>
      <c r="F75" s="5" t="s">
        <v>220</v>
      </c>
      <c r="G75" s="5" t="s">
        <v>216</v>
      </c>
      <c r="I75">
        <f t="shared" si="1"/>
        <v>-1.5894887849784545E-2</v>
      </c>
    </row>
    <row r="76" spans="2:9" x14ac:dyDescent="0.2">
      <c r="B76" s="6">
        <v>45700</v>
      </c>
      <c r="C76" s="5">
        <v>0.78</v>
      </c>
      <c r="D76" s="5">
        <v>751540</v>
      </c>
      <c r="E76" s="5" t="s">
        <v>221</v>
      </c>
      <c r="F76" s="5" t="s">
        <v>222</v>
      </c>
      <c r="G76" s="5" t="s">
        <v>221</v>
      </c>
      <c r="I76">
        <f t="shared" si="1"/>
        <v>7.0367442150118087E-2</v>
      </c>
    </row>
    <row r="77" spans="2:9" x14ac:dyDescent="0.2">
      <c r="B77" s="6">
        <v>45669</v>
      </c>
      <c r="C77" s="5">
        <v>0.72699999999999998</v>
      </c>
      <c r="D77" s="5">
        <v>2308137</v>
      </c>
      <c r="E77" s="5" t="s">
        <v>223</v>
      </c>
      <c r="F77" s="5" t="s">
        <v>224</v>
      </c>
      <c r="G77" s="5" t="s">
        <v>114</v>
      </c>
      <c r="I77">
        <f t="shared" si="1"/>
        <v>-3.1146728996836792E-2</v>
      </c>
    </row>
    <row r="78" spans="2:9" x14ac:dyDescent="0.2">
      <c r="B78" s="4" t="s">
        <v>225</v>
      </c>
      <c r="C78" s="5">
        <v>0.75</v>
      </c>
      <c r="D78" s="5">
        <v>22097850</v>
      </c>
      <c r="E78" s="5" t="s">
        <v>114</v>
      </c>
      <c r="F78" s="5" t="s">
        <v>226</v>
      </c>
      <c r="G78" s="5" t="s">
        <v>227</v>
      </c>
      <c r="I78">
        <f t="shared" si="1"/>
        <v>0.12783337150988489</v>
      </c>
    </row>
    <row r="79" spans="2:9" x14ac:dyDescent="0.2">
      <c r="B79" s="4" t="s">
        <v>228</v>
      </c>
      <c r="C79" s="5">
        <v>0.66</v>
      </c>
      <c r="D79" s="5">
        <v>10799590</v>
      </c>
      <c r="E79" s="5" t="s">
        <v>229</v>
      </c>
      <c r="F79" s="5" t="s">
        <v>95</v>
      </c>
      <c r="G79" s="5" t="s">
        <v>230</v>
      </c>
      <c r="I79">
        <f t="shared" si="1"/>
        <v>0.25920260112991239</v>
      </c>
    </row>
    <row r="80" spans="2:9" x14ac:dyDescent="0.2">
      <c r="B80" s="4" t="s">
        <v>231</v>
      </c>
      <c r="C80" s="5">
        <v>0.50929999999999997</v>
      </c>
      <c r="D80" s="5">
        <v>2459909</v>
      </c>
      <c r="E80" s="5" t="s">
        <v>232</v>
      </c>
      <c r="F80" s="5" t="s">
        <v>233</v>
      </c>
      <c r="G80" s="5" t="s">
        <v>234</v>
      </c>
      <c r="I80">
        <f t="shared" si="1"/>
        <v>-0.56935752943375184</v>
      </c>
    </row>
    <row r="81" spans="2:9" x14ac:dyDescent="0.2">
      <c r="B81" s="4" t="s">
        <v>235</v>
      </c>
      <c r="C81" s="5">
        <v>0.9</v>
      </c>
      <c r="D81" s="5">
        <v>3009224</v>
      </c>
      <c r="E81" s="5" t="s">
        <v>236</v>
      </c>
      <c r="F81" s="5" t="s">
        <v>237</v>
      </c>
      <c r="G81" s="5" t="s">
        <v>236</v>
      </c>
      <c r="I81">
        <f t="shared" si="1"/>
        <v>0.1949340948447984</v>
      </c>
    </row>
    <row r="82" spans="2:9" x14ac:dyDescent="0.2">
      <c r="B82" s="4" t="s">
        <v>238</v>
      </c>
      <c r="C82" s="5">
        <v>0.74060000000000004</v>
      </c>
      <c r="D82" s="5">
        <v>457149</v>
      </c>
      <c r="E82" s="5" t="s">
        <v>239</v>
      </c>
      <c r="F82" s="5" t="s">
        <v>240</v>
      </c>
      <c r="G82" s="5" t="s">
        <v>241</v>
      </c>
      <c r="I82">
        <f t="shared" si="1"/>
        <v>-0.27292341370649265</v>
      </c>
    </row>
    <row r="83" spans="2:9" x14ac:dyDescent="0.2">
      <c r="B83" s="4" t="s">
        <v>242</v>
      </c>
      <c r="C83" s="5">
        <v>0.97299999999999998</v>
      </c>
      <c r="D83" s="5">
        <v>396700</v>
      </c>
      <c r="E83" s="5" t="s">
        <v>243</v>
      </c>
      <c r="F83" s="5" t="s">
        <v>243</v>
      </c>
      <c r="G83" s="5" t="s">
        <v>244</v>
      </c>
      <c r="I83">
        <f t="shared" si="1"/>
        <v>-0.25848291775951865</v>
      </c>
    </row>
    <row r="84" spans="2:9" x14ac:dyDescent="0.2">
      <c r="B84" s="4" t="s">
        <v>245</v>
      </c>
      <c r="C84" s="5">
        <v>1.26</v>
      </c>
      <c r="D84" s="5">
        <v>95230</v>
      </c>
      <c r="E84" s="5" t="s">
        <v>247</v>
      </c>
      <c r="F84" s="5" t="s">
        <v>248</v>
      </c>
      <c r="G84" s="5" t="s">
        <v>246</v>
      </c>
      <c r="I84">
        <f t="shared" si="1"/>
        <v>-6.15578929994334E-2</v>
      </c>
    </row>
    <row r="85" spans="2:9" x14ac:dyDescent="0.2">
      <c r="B85" s="4" t="s">
        <v>249</v>
      </c>
      <c r="C85" s="5">
        <v>1.34</v>
      </c>
      <c r="D85" s="5">
        <v>275941</v>
      </c>
      <c r="E85" s="5" t="s">
        <v>250</v>
      </c>
      <c r="F85" s="5" t="s">
        <v>250</v>
      </c>
      <c r="G85" s="5" t="s">
        <v>237</v>
      </c>
      <c r="I85">
        <f t="shared" si="1"/>
        <v>-3.6634133179780259E-2</v>
      </c>
    </row>
    <row r="86" spans="2:9" x14ac:dyDescent="0.2">
      <c r="B86" s="4" t="s">
        <v>251</v>
      </c>
      <c r="C86" s="5">
        <v>1.39</v>
      </c>
      <c r="D86" s="5">
        <v>2477403</v>
      </c>
      <c r="E86" s="5" t="s">
        <v>237</v>
      </c>
      <c r="F86" s="5" t="s">
        <v>252</v>
      </c>
      <c r="G86" s="5" t="s">
        <v>237</v>
      </c>
      <c r="I86">
        <f t="shared" si="1"/>
        <v>0.18954180476744167</v>
      </c>
    </row>
    <row r="87" spans="2:9" x14ac:dyDescent="0.2">
      <c r="B87" s="4" t="s">
        <v>253</v>
      </c>
      <c r="C87" s="5">
        <v>1.1499999999999999</v>
      </c>
      <c r="D87" s="5">
        <v>192625</v>
      </c>
      <c r="E87" s="5" t="s">
        <v>254</v>
      </c>
      <c r="F87" s="5" t="s">
        <v>254</v>
      </c>
      <c r="G87" s="5" t="s">
        <v>255</v>
      </c>
      <c r="I87">
        <f t="shared" si="1"/>
        <v>-0.17504879746487498</v>
      </c>
    </row>
    <row r="88" spans="2:9" x14ac:dyDescent="0.2">
      <c r="B88" s="4" t="s">
        <v>256</v>
      </c>
      <c r="C88" s="5">
        <v>1.37</v>
      </c>
      <c r="D88" s="5">
        <v>140675</v>
      </c>
      <c r="E88" s="5" t="s">
        <v>257</v>
      </c>
      <c r="F88" s="5" t="s">
        <v>258</v>
      </c>
      <c r="G88" s="5" t="s">
        <v>259</v>
      </c>
      <c r="I88">
        <f t="shared" si="1"/>
        <v>-0.10389959501815144</v>
      </c>
    </row>
    <row r="89" spans="2:9" x14ac:dyDescent="0.2">
      <c r="B89" s="6">
        <v>46002</v>
      </c>
      <c r="C89" s="5">
        <v>1.52</v>
      </c>
      <c r="D89" s="5">
        <v>41904</v>
      </c>
      <c r="E89" s="5" t="s">
        <v>261</v>
      </c>
      <c r="F89" s="5" t="s">
        <v>262</v>
      </c>
      <c r="G89" s="5" t="s">
        <v>257</v>
      </c>
      <c r="I89">
        <f t="shared" si="1"/>
        <v>-3.2365284502031688E-2</v>
      </c>
    </row>
    <row r="90" spans="2:9" x14ac:dyDescent="0.2">
      <c r="B90" s="6">
        <v>45972</v>
      </c>
      <c r="C90" s="5">
        <v>1.57</v>
      </c>
      <c r="D90" s="5">
        <v>37552</v>
      </c>
      <c r="E90" s="5" t="s">
        <v>263</v>
      </c>
      <c r="F90" s="5" t="s">
        <v>264</v>
      </c>
      <c r="G90" s="5" t="s">
        <v>261</v>
      </c>
      <c r="I90">
        <f t="shared" si="1"/>
        <v>-6.3492276786587531E-3</v>
      </c>
    </row>
    <row r="91" spans="2:9" x14ac:dyDescent="0.2">
      <c r="B91" s="6">
        <v>45941</v>
      </c>
      <c r="C91" s="5">
        <v>1.58</v>
      </c>
      <c r="D91" s="5">
        <v>148910</v>
      </c>
      <c r="E91" s="5" t="s">
        <v>265</v>
      </c>
      <c r="F91" s="5" t="s">
        <v>266</v>
      </c>
      <c r="G91" s="5" t="s">
        <v>267</v>
      </c>
      <c r="I91">
        <f t="shared" si="1"/>
        <v>-4.9392755329576377E-2</v>
      </c>
    </row>
    <row r="92" spans="2:9" x14ac:dyDescent="0.2">
      <c r="B92" s="6">
        <v>45849</v>
      </c>
      <c r="C92" s="5">
        <v>1.66</v>
      </c>
      <c r="D92" s="5">
        <v>119430</v>
      </c>
      <c r="E92" s="5" t="s">
        <v>269</v>
      </c>
      <c r="F92" s="5" t="s">
        <v>268</v>
      </c>
      <c r="G92" s="5" t="s">
        <v>270</v>
      </c>
      <c r="I92">
        <f t="shared" si="1"/>
        <v>-2.3810648693718517E-2</v>
      </c>
    </row>
    <row r="93" spans="2:9" x14ac:dyDescent="0.2">
      <c r="B93" s="6">
        <v>45819</v>
      </c>
      <c r="C93" s="5">
        <v>1.7</v>
      </c>
      <c r="D93" s="5">
        <v>33506</v>
      </c>
      <c r="E93" s="5" t="s">
        <v>266</v>
      </c>
      <c r="F93" s="5" t="s">
        <v>272</v>
      </c>
      <c r="G93" s="5" t="s">
        <v>273</v>
      </c>
      <c r="I93">
        <f t="shared" si="1"/>
        <v>-3.4685557987890081E-2</v>
      </c>
    </row>
    <row r="94" spans="2:9" x14ac:dyDescent="0.2">
      <c r="B94" s="6">
        <v>45788</v>
      </c>
      <c r="C94" s="5">
        <v>1.76</v>
      </c>
      <c r="D94" s="5">
        <v>70929</v>
      </c>
      <c r="E94" s="5" t="s">
        <v>274</v>
      </c>
      <c r="F94" s="5" t="s">
        <v>275</v>
      </c>
      <c r="G94" s="5" t="s">
        <v>276</v>
      </c>
      <c r="I94">
        <f t="shared" si="1"/>
        <v>1.1428695823622825E-2</v>
      </c>
    </row>
    <row r="95" spans="2:9" x14ac:dyDescent="0.2">
      <c r="B95" s="6">
        <v>45758</v>
      </c>
      <c r="C95" s="5">
        <v>1.74</v>
      </c>
      <c r="D95" s="5">
        <v>90134</v>
      </c>
      <c r="E95" s="5" t="s">
        <v>277</v>
      </c>
      <c r="F95" s="5" t="s">
        <v>278</v>
      </c>
      <c r="G95" s="5" t="s">
        <v>279</v>
      </c>
      <c r="I95">
        <f t="shared" si="1"/>
        <v>-9.3218128832100788E-2</v>
      </c>
    </row>
    <row r="96" spans="2:9" x14ac:dyDescent="0.2">
      <c r="B96" s="6">
        <v>45727</v>
      </c>
      <c r="C96" s="5">
        <v>1.91</v>
      </c>
      <c r="D96" s="5">
        <v>66945</v>
      </c>
      <c r="E96" s="5" t="s">
        <v>280</v>
      </c>
      <c r="F96" s="5" t="s">
        <v>281</v>
      </c>
      <c r="G96" s="5" t="s">
        <v>282</v>
      </c>
      <c r="I96">
        <f t="shared" si="1"/>
        <v>-5.2219439811517221E-3</v>
      </c>
    </row>
    <row r="97" spans="2:9" x14ac:dyDescent="0.2">
      <c r="B97" s="4" t="s">
        <v>283</v>
      </c>
      <c r="C97" s="5">
        <v>1.92</v>
      </c>
      <c r="D97" s="5">
        <v>44661</v>
      </c>
      <c r="E97" s="5" t="s">
        <v>280</v>
      </c>
      <c r="F97" s="5" t="s">
        <v>285</v>
      </c>
      <c r="G97" s="5" t="s">
        <v>252</v>
      </c>
      <c r="I97">
        <f t="shared" si="1"/>
        <v>-1.0362787035546606E-2</v>
      </c>
    </row>
    <row r="98" spans="2:9" x14ac:dyDescent="0.2">
      <c r="B98" s="4" t="s">
        <v>286</v>
      </c>
      <c r="C98" s="5">
        <v>1.94</v>
      </c>
      <c r="D98" s="5">
        <v>122177</v>
      </c>
      <c r="E98" s="5" t="s">
        <v>287</v>
      </c>
      <c r="F98" s="5" t="s">
        <v>288</v>
      </c>
      <c r="G98" s="5" t="s">
        <v>289</v>
      </c>
      <c r="I98">
        <f t="shared" si="1"/>
        <v>-3.0459207484708539E-2</v>
      </c>
    </row>
    <row r="99" spans="2:9" x14ac:dyDescent="0.2">
      <c r="B99" s="4" t="s">
        <v>290</v>
      </c>
      <c r="C99" s="5">
        <v>2</v>
      </c>
      <c r="D99" s="5">
        <v>28687</v>
      </c>
      <c r="E99" s="5" t="s">
        <v>291</v>
      </c>
      <c r="F99" s="5" t="s">
        <v>292</v>
      </c>
      <c r="G99" s="5" t="s">
        <v>293</v>
      </c>
      <c r="I99">
        <f t="shared" si="1"/>
        <v>-3.4401426717332373E-2</v>
      </c>
    </row>
    <row r="100" spans="2:9" x14ac:dyDescent="0.2">
      <c r="B100" s="4" t="s">
        <v>294</v>
      </c>
      <c r="C100" s="5">
        <v>2.0699999999999998</v>
      </c>
      <c r="D100" s="5">
        <v>94424</v>
      </c>
      <c r="E100" s="5" t="s">
        <v>295</v>
      </c>
      <c r="F100" s="5" t="s">
        <v>292</v>
      </c>
      <c r="G100" s="5" t="s">
        <v>284</v>
      </c>
      <c r="I100">
        <f t="shared" si="1"/>
        <v>1.9512814223581754E-2</v>
      </c>
    </row>
    <row r="101" spans="2:9" x14ac:dyDescent="0.2">
      <c r="B101" s="4" t="s">
        <v>296</v>
      </c>
      <c r="C101" s="5">
        <v>2.0299999999999998</v>
      </c>
      <c r="D101" s="5">
        <v>69814</v>
      </c>
      <c r="E101" s="5" t="s">
        <v>291</v>
      </c>
      <c r="F101" s="5" t="s">
        <v>298</v>
      </c>
      <c r="G101" s="5" t="s">
        <v>299</v>
      </c>
      <c r="I101">
        <f t="shared" si="1"/>
        <v>-1.9512814223581754E-2</v>
      </c>
    </row>
    <row r="102" spans="2:9" x14ac:dyDescent="0.2">
      <c r="B102" s="4" t="s">
        <v>300</v>
      </c>
      <c r="C102" s="5">
        <v>2.0699999999999998</v>
      </c>
      <c r="D102" s="5">
        <v>76674</v>
      </c>
      <c r="E102" s="5" t="s">
        <v>301</v>
      </c>
      <c r="F102" s="5" t="s">
        <v>301</v>
      </c>
      <c r="G102" s="5" t="s">
        <v>302</v>
      </c>
      <c r="I102">
        <f t="shared" si="1"/>
        <v>-5.1776269523720053E-2</v>
      </c>
    </row>
    <row r="103" spans="2:9" x14ac:dyDescent="0.2">
      <c r="B103" s="4" t="s">
        <v>303</v>
      </c>
      <c r="C103" s="5">
        <v>2.1800000000000002</v>
      </c>
      <c r="D103" s="5">
        <v>117756</v>
      </c>
      <c r="E103" s="5" t="s">
        <v>292</v>
      </c>
      <c r="F103" s="5" t="s">
        <v>305</v>
      </c>
      <c r="G103" s="5" t="s">
        <v>306</v>
      </c>
      <c r="I103">
        <f t="shared" si="1"/>
        <v>1.3857034661426293E-2</v>
      </c>
    </row>
    <row r="104" spans="2:9" x14ac:dyDescent="0.2">
      <c r="B104" s="4" t="s">
        <v>307</v>
      </c>
      <c r="C104" s="5">
        <v>2.15</v>
      </c>
      <c r="D104" s="5">
        <v>63687</v>
      </c>
      <c r="E104" s="5" t="s">
        <v>309</v>
      </c>
      <c r="F104" s="5" t="s">
        <v>310</v>
      </c>
      <c r="G104" s="5" t="s">
        <v>311</v>
      </c>
      <c r="I104">
        <f t="shared" si="1"/>
        <v>-4.1008023727377108E-2</v>
      </c>
    </row>
    <row r="105" spans="2:9" x14ac:dyDescent="0.2">
      <c r="B105" s="4" t="s">
        <v>312</v>
      </c>
      <c r="C105" s="5">
        <v>2.2400000000000002</v>
      </c>
      <c r="D105" s="5">
        <v>38221</v>
      </c>
      <c r="E105" s="5" t="s">
        <v>304</v>
      </c>
      <c r="F105" s="5" t="s">
        <v>314</v>
      </c>
      <c r="G105" s="5" t="s">
        <v>304</v>
      </c>
      <c r="I105">
        <f t="shared" si="1"/>
        <v>1.801850550267825E-2</v>
      </c>
    </row>
    <row r="106" spans="2:9" x14ac:dyDescent="0.2">
      <c r="B106" s="4" t="s">
        <v>315</v>
      </c>
      <c r="C106" s="5">
        <v>2.2000000000000002</v>
      </c>
      <c r="D106" s="5">
        <v>84277</v>
      </c>
      <c r="E106" s="5" t="s">
        <v>316</v>
      </c>
      <c r="F106" s="5" t="s">
        <v>317</v>
      </c>
      <c r="G106" s="5" t="s">
        <v>304</v>
      </c>
      <c r="I106">
        <f t="shared" si="1"/>
        <v>6.8415318167167616E-3</v>
      </c>
    </row>
    <row r="107" spans="2:9" x14ac:dyDescent="0.2">
      <c r="B107" s="4" t="s">
        <v>318</v>
      </c>
      <c r="C107" s="5">
        <v>2.1850000000000001</v>
      </c>
      <c r="D107" s="5">
        <v>160967</v>
      </c>
      <c r="E107" s="5" t="s">
        <v>319</v>
      </c>
      <c r="F107" s="5" t="s">
        <v>320</v>
      </c>
      <c r="G107" s="5" t="s">
        <v>321</v>
      </c>
      <c r="I107">
        <f t="shared" si="1"/>
        <v>-0.11447219600908221</v>
      </c>
    </row>
    <row r="108" spans="2:9" x14ac:dyDescent="0.2">
      <c r="B108" s="4" t="s">
        <v>322</v>
      </c>
      <c r="C108" s="5">
        <v>2.4500000000000002</v>
      </c>
      <c r="D108" s="5">
        <v>462444</v>
      </c>
      <c r="E108" s="5" t="s">
        <v>324</v>
      </c>
      <c r="F108" s="5" t="s">
        <v>325</v>
      </c>
      <c r="G108" s="5" t="s">
        <v>323</v>
      </c>
      <c r="I108">
        <f t="shared" si="1"/>
        <v>-0.20585205420414854</v>
      </c>
    </row>
    <row r="109" spans="2:9" x14ac:dyDescent="0.2">
      <c r="B109" s="4" t="s">
        <v>326</v>
      </c>
      <c r="C109" s="5">
        <v>3.01</v>
      </c>
      <c r="D109" s="5">
        <v>213200</v>
      </c>
      <c r="E109" s="5" t="s">
        <v>327</v>
      </c>
      <c r="F109" s="5" t="s">
        <v>328</v>
      </c>
      <c r="G109" s="5" t="s">
        <v>329</v>
      </c>
      <c r="I109">
        <f t="shared" si="1"/>
        <v>3.3277900926744763E-3</v>
      </c>
    </row>
    <row r="110" spans="2:9" x14ac:dyDescent="0.2">
      <c r="B110" s="4" t="s">
        <v>330</v>
      </c>
      <c r="C110" s="5">
        <v>3</v>
      </c>
      <c r="D110" s="5">
        <v>408106</v>
      </c>
      <c r="E110" s="5" t="s">
        <v>332</v>
      </c>
      <c r="F110" s="5" t="s">
        <v>333</v>
      </c>
      <c r="G110" s="5" t="s">
        <v>334</v>
      </c>
      <c r="I110">
        <f t="shared" si="1"/>
        <v>0.11653381625595161</v>
      </c>
    </row>
    <row r="111" spans="2:9" x14ac:dyDescent="0.2">
      <c r="B111" s="4" t="s">
        <v>335</v>
      </c>
      <c r="C111" s="5">
        <v>2.67</v>
      </c>
      <c r="D111" s="5">
        <v>142213</v>
      </c>
      <c r="E111" s="5" t="s">
        <v>336</v>
      </c>
      <c r="F111" s="5" t="s">
        <v>337</v>
      </c>
      <c r="G111" s="5" t="s">
        <v>338</v>
      </c>
      <c r="I111">
        <f t="shared" si="1"/>
        <v>9.8310932243563132E-2</v>
      </c>
    </row>
    <row r="112" spans="2:9" x14ac:dyDescent="0.2">
      <c r="B112" s="6">
        <v>45940</v>
      </c>
      <c r="C112" s="5">
        <v>2.42</v>
      </c>
      <c r="D112" s="5">
        <v>133636</v>
      </c>
      <c r="E112" s="5" t="s">
        <v>340</v>
      </c>
      <c r="F112" s="5" t="s">
        <v>341</v>
      </c>
      <c r="G112" s="5" t="s">
        <v>339</v>
      </c>
      <c r="I112">
        <f t="shared" si="1"/>
        <v>-8.2304991365154123E-3</v>
      </c>
    </row>
    <row r="113" spans="2:9" x14ac:dyDescent="0.2">
      <c r="B113" s="6">
        <v>45910</v>
      </c>
      <c r="C113" s="5">
        <v>2.44</v>
      </c>
      <c r="D113" s="5">
        <v>127224</v>
      </c>
      <c r="E113" s="5" t="s">
        <v>343</v>
      </c>
      <c r="F113" s="5" t="s">
        <v>344</v>
      </c>
      <c r="G113" s="5" t="s">
        <v>345</v>
      </c>
      <c r="I113">
        <f t="shared" si="1"/>
        <v>-7.4985806884562689E-2</v>
      </c>
    </row>
    <row r="114" spans="2:9" x14ac:dyDescent="0.2">
      <c r="B114" s="6">
        <v>45879</v>
      </c>
      <c r="C114" s="5">
        <v>2.63</v>
      </c>
      <c r="D114" s="5">
        <v>122718</v>
      </c>
      <c r="E114" s="5" t="s">
        <v>346</v>
      </c>
      <c r="F114" s="5" t="s">
        <v>347</v>
      </c>
      <c r="G114" s="5" t="s">
        <v>348</v>
      </c>
      <c r="I114">
        <f t="shared" si="1"/>
        <v>-5.1863474009574029E-2</v>
      </c>
    </row>
    <row r="115" spans="2:9" x14ac:dyDescent="0.2">
      <c r="B115" s="6">
        <v>45848</v>
      </c>
      <c r="C115" s="5">
        <v>2.77</v>
      </c>
      <c r="D115" s="5">
        <v>167052</v>
      </c>
      <c r="E115" s="5" t="s">
        <v>349</v>
      </c>
      <c r="F115" s="5" t="s">
        <v>349</v>
      </c>
      <c r="G115" s="5" t="s">
        <v>350</v>
      </c>
      <c r="I115">
        <f t="shared" si="1"/>
        <v>-2.8471674081312015E-2</v>
      </c>
    </row>
    <row r="116" spans="2:9" x14ac:dyDescent="0.2">
      <c r="B116" s="6">
        <v>45818</v>
      </c>
      <c r="C116" s="5">
        <v>2.85</v>
      </c>
      <c r="D116" s="5">
        <v>534093</v>
      </c>
      <c r="E116" s="5" t="s">
        <v>351</v>
      </c>
      <c r="F116" s="5" t="s">
        <v>352</v>
      </c>
      <c r="G116" s="5" t="s">
        <v>353</v>
      </c>
      <c r="I116">
        <f t="shared" si="1"/>
        <v>-1.7391742711869052E-2</v>
      </c>
    </row>
    <row r="117" spans="2:9" x14ac:dyDescent="0.2">
      <c r="B117" s="6">
        <v>45726</v>
      </c>
      <c r="C117" s="5">
        <v>2.9</v>
      </c>
      <c r="D117" s="5">
        <v>266501</v>
      </c>
      <c r="E117" s="5" t="s">
        <v>354</v>
      </c>
      <c r="F117" s="5" t="s">
        <v>355</v>
      </c>
      <c r="G117" s="5" t="s">
        <v>356</v>
      </c>
      <c r="I117">
        <f t="shared" si="1"/>
        <v>0.11305286128098191</v>
      </c>
    </row>
    <row r="118" spans="2:9" x14ac:dyDescent="0.2">
      <c r="B118" s="6">
        <v>45698</v>
      </c>
      <c r="C118" s="5">
        <v>2.59</v>
      </c>
      <c r="D118" s="5">
        <v>122909</v>
      </c>
      <c r="E118" s="5" t="s">
        <v>357</v>
      </c>
      <c r="F118" s="5" t="s">
        <v>344</v>
      </c>
      <c r="G118" s="5" t="s">
        <v>323</v>
      </c>
      <c r="I118">
        <f t="shared" si="1"/>
        <v>6.3766618358989224E-2</v>
      </c>
    </row>
    <row r="119" spans="2:9" x14ac:dyDescent="0.2">
      <c r="B119" s="6">
        <v>45667</v>
      </c>
      <c r="C119" s="5">
        <v>2.4300000000000002</v>
      </c>
      <c r="D119" s="5">
        <v>92056</v>
      </c>
      <c r="E119" s="5" t="s">
        <v>319</v>
      </c>
      <c r="F119" s="5" t="s">
        <v>358</v>
      </c>
      <c r="G119" s="5" t="s">
        <v>359</v>
      </c>
      <c r="I119">
        <f t="shared" si="1"/>
        <v>4.1237171838620634E-3</v>
      </c>
    </row>
    <row r="120" spans="2:9" x14ac:dyDescent="0.2">
      <c r="B120" s="4" t="s">
        <v>360</v>
      </c>
      <c r="C120" s="5">
        <v>2.42</v>
      </c>
      <c r="D120" s="5">
        <v>57166</v>
      </c>
      <c r="E120" s="5" t="s">
        <v>361</v>
      </c>
      <c r="F120" s="5" t="s">
        <v>362</v>
      </c>
      <c r="G120" s="5" t="s">
        <v>319</v>
      </c>
      <c r="I120">
        <f t="shared" si="1"/>
        <v>-3.6515212975097411E-2</v>
      </c>
    </row>
    <row r="121" spans="2:9" x14ac:dyDescent="0.2">
      <c r="B121" s="4" t="s">
        <v>363</v>
      </c>
      <c r="C121" s="5">
        <v>2.5099999999999998</v>
      </c>
      <c r="D121" s="5">
        <v>310905</v>
      </c>
      <c r="E121" s="5" t="s">
        <v>343</v>
      </c>
      <c r="F121" s="5" t="s">
        <v>334</v>
      </c>
      <c r="G121" s="5" t="s">
        <v>364</v>
      </c>
      <c r="I121">
        <f t="shared" si="1"/>
        <v>-2.7506645789833639E-2</v>
      </c>
    </row>
    <row r="122" spans="2:9" x14ac:dyDescent="0.2">
      <c r="B122" s="4" t="s">
        <v>365</v>
      </c>
      <c r="C122" s="5">
        <v>2.58</v>
      </c>
      <c r="D122" s="5">
        <v>184194</v>
      </c>
      <c r="E122" s="5" t="s">
        <v>320</v>
      </c>
      <c r="F122" s="5" t="s">
        <v>366</v>
      </c>
      <c r="G122" s="5" t="s">
        <v>320</v>
      </c>
      <c r="I122">
        <f t="shared" si="1"/>
        <v>6.8162651430962451E-2</v>
      </c>
    </row>
    <row r="123" spans="2:9" x14ac:dyDescent="0.2">
      <c r="B123" s="4" t="s">
        <v>367</v>
      </c>
      <c r="C123" s="5">
        <v>2.41</v>
      </c>
      <c r="D123" s="5">
        <v>119963</v>
      </c>
      <c r="E123" s="5" t="s">
        <v>368</v>
      </c>
      <c r="F123" s="5" t="s">
        <v>369</v>
      </c>
      <c r="G123" s="5" t="s">
        <v>345</v>
      </c>
      <c r="I123">
        <f t="shared" si="1"/>
        <v>4.6717624567459759E-2</v>
      </c>
    </row>
    <row r="124" spans="2:9" x14ac:dyDescent="0.2">
      <c r="B124" s="4" t="s">
        <v>370</v>
      </c>
      <c r="C124" s="5">
        <v>2.2999999999999998</v>
      </c>
      <c r="D124" s="5">
        <v>128669</v>
      </c>
      <c r="E124" s="5" t="s">
        <v>372</v>
      </c>
      <c r="F124" s="5" t="s">
        <v>373</v>
      </c>
      <c r="G124" s="5" t="s">
        <v>310</v>
      </c>
      <c r="I124">
        <f t="shared" si="1"/>
        <v>-1.7241806434506124E-2</v>
      </c>
    </row>
    <row r="125" spans="2:9" x14ac:dyDescent="0.2">
      <c r="B125" s="4" t="s">
        <v>374</v>
      </c>
      <c r="C125" s="5">
        <v>2.34</v>
      </c>
      <c r="D125" s="5">
        <v>89662</v>
      </c>
      <c r="E125" s="5" t="s">
        <v>339</v>
      </c>
      <c r="F125" s="5" t="s">
        <v>376</v>
      </c>
      <c r="G125" s="5" t="s">
        <v>345</v>
      </c>
      <c r="I125">
        <f t="shared" si="1"/>
        <v>-5.0010420574661429E-2</v>
      </c>
    </row>
    <row r="126" spans="2:9" x14ac:dyDescent="0.2">
      <c r="B126" s="4" t="s">
        <v>377</v>
      </c>
      <c r="C126" s="5">
        <v>2.46</v>
      </c>
      <c r="D126" s="5">
        <v>291523</v>
      </c>
      <c r="E126" s="5" t="s">
        <v>371</v>
      </c>
      <c r="F126" s="5" t="s">
        <v>378</v>
      </c>
      <c r="G126" s="5" t="s">
        <v>371</v>
      </c>
      <c r="I126">
        <f t="shared" si="1"/>
        <v>7.5985906977922069E-2</v>
      </c>
    </row>
    <row r="127" spans="2:9" x14ac:dyDescent="0.2">
      <c r="B127" s="4" t="s">
        <v>379</v>
      </c>
      <c r="C127" s="5">
        <v>2.2799999999999998</v>
      </c>
      <c r="D127" s="5">
        <v>58166</v>
      </c>
      <c r="E127" s="5" t="s">
        <v>305</v>
      </c>
      <c r="F127" s="5" t="s">
        <v>381</v>
      </c>
      <c r="G127" s="5" t="s">
        <v>313</v>
      </c>
      <c r="I127">
        <f t="shared" si="1"/>
        <v>-2.5975486403260639E-2</v>
      </c>
    </row>
    <row r="128" spans="2:9" x14ac:dyDescent="0.2">
      <c r="B128" s="4" t="s">
        <v>382</v>
      </c>
      <c r="C128" s="5">
        <v>2.34</v>
      </c>
      <c r="D128" s="5">
        <v>159995</v>
      </c>
      <c r="E128" s="5" t="s">
        <v>375</v>
      </c>
      <c r="F128" s="5" t="s">
        <v>373</v>
      </c>
      <c r="G128" s="5" t="s">
        <v>310</v>
      </c>
      <c r="I128">
        <f t="shared" si="1"/>
        <v>-8.5106896679086885E-3</v>
      </c>
    </row>
    <row r="129" spans="2:9" x14ac:dyDescent="0.2">
      <c r="B129" s="4" t="s">
        <v>383</v>
      </c>
      <c r="C129" s="5">
        <v>2.36</v>
      </c>
      <c r="D129" s="5">
        <v>121944</v>
      </c>
      <c r="E129" s="5" t="s">
        <v>372</v>
      </c>
      <c r="F129" s="5" t="s">
        <v>357</v>
      </c>
      <c r="G129" s="5" t="s">
        <v>372</v>
      </c>
      <c r="I129">
        <f t="shared" si="1"/>
        <v>0</v>
      </c>
    </row>
    <row r="130" spans="2:9" x14ac:dyDescent="0.2">
      <c r="B130" s="4" t="s">
        <v>385</v>
      </c>
      <c r="C130" s="5">
        <v>2.36</v>
      </c>
      <c r="D130" s="5">
        <v>130238</v>
      </c>
      <c r="E130" s="5" t="s">
        <v>380</v>
      </c>
      <c r="F130" s="5" t="s">
        <v>342</v>
      </c>
      <c r="G130" s="5" t="s">
        <v>310</v>
      </c>
      <c r="I130">
        <f t="shared" si="1"/>
        <v>3.0109801471370434E-2</v>
      </c>
    </row>
    <row r="131" spans="2:9" x14ac:dyDescent="0.2">
      <c r="B131" s="4" t="s">
        <v>386</v>
      </c>
      <c r="C131" s="5">
        <v>2.29</v>
      </c>
      <c r="D131" s="5">
        <v>131268</v>
      </c>
      <c r="E131" s="5" t="s">
        <v>387</v>
      </c>
      <c r="F131" s="5" t="s">
        <v>388</v>
      </c>
      <c r="G131" s="5" t="s">
        <v>387</v>
      </c>
      <c r="I131">
        <f t="shared" si="1"/>
        <v>6.3083975426576844E-2</v>
      </c>
    </row>
    <row r="132" spans="2:9" x14ac:dyDescent="0.2">
      <c r="B132" s="6">
        <v>46000</v>
      </c>
      <c r="C132" s="5">
        <v>2.15</v>
      </c>
      <c r="D132" s="5">
        <v>133969</v>
      </c>
      <c r="E132" s="5" t="s">
        <v>291</v>
      </c>
      <c r="F132" s="5" t="s">
        <v>309</v>
      </c>
      <c r="G132" s="5" t="s">
        <v>389</v>
      </c>
      <c r="I132">
        <f t="shared" si="1"/>
        <v>2.3530497410194084E-2</v>
      </c>
    </row>
    <row r="133" spans="2:9" x14ac:dyDescent="0.2">
      <c r="B133" s="6">
        <v>45970</v>
      </c>
      <c r="C133" s="5">
        <v>2.1</v>
      </c>
      <c r="D133" s="5">
        <v>216476</v>
      </c>
      <c r="E133" s="5" t="s">
        <v>368</v>
      </c>
      <c r="F133" s="5" t="s">
        <v>391</v>
      </c>
      <c r="G133" s="5" t="s">
        <v>291</v>
      </c>
      <c r="I133">
        <f t="shared" ref="I133:I196" si="2">LN(C133)-LN(C134)</f>
        <v>-9.5310179804324879E-2</v>
      </c>
    </row>
    <row r="134" spans="2:9" x14ac:dyDescent="0.2">
      <c r="B134" s="6">
        <v>45939</v>
      </c>
      <c r="C134" s="5">
        <v>2.31</v>
      </c>
      <c r="D134" s="5">
        <v>168458</v>
      </c>
      <c r="E134" s="5" t="s">
        <v>392</v>
      </c>
      <c r="F134" s="5" t="s">
        <v>359</v>
      </c>
      <c r="G134" s="5" t="s">
        <v>392</v>
      </c>
      <c r="I134">
        <f t="shared" si="2"/>
        <v>5.7922647732704502E-2</v>
      </c>
    </row>
    <row r="135" spans="2:9" x14ac:dyDescent="0.2">
      <c r="B135" s="6">
        <v>45909</v>
      </c>
      <c r="C135" s="5">
        <v>2.1800000000000002</v>
      </c>
      <c r="D135" s="5">
        <v>322314</v>
      </c>
      <c r="E135" s="5" t="s">
        <v>373</v>
      </c>
      <c r="F135" s="5" t="s">
        <v>340</v>
      </c>
      <c r="G135" s="5" t="s">
        <v>390</v>
      </c>
      <c r="I135">
        <f t="shared" si="2"/>
        <v>-0.10444266336759733</v>
      </c>
    </row>
    <row r="136" spans="2:9" x14ac:dyDescent="0.2">
      <c r="B136" s="6">
        <v>45878</v>
      </c>
      <c r="C136" s="5">
        <v>2.42</v>
      </c>
      <c r="D136" s="5">
        <v>265355</v>
      </c>
      <c r="E136" s="5" t="s">
        <v>358</v>
      </c>
      <c r="F136" s="5" t="s">
        <v>393</v>
      </c>
      <c r="G136" s="5" t="s">
        <v>371</v>
      </c>
      <c r="I136">
        <f t="shared" si="2"/>
        <v>-8.2304991365154123E-3</v>
      </c>
    </row>
    <row r="137" spans="2:9" x14ac:dyDescent="0.2">
      <c r="B137" s="6">
        <v>45786</v>
      </c>
      <c r="C137" s="5">
        <v>2.44</v>
      </c>
      <c r="D137" s="5">
        <v>4082998</v>
      </c>
      <c r="E137" s="5" t="s">
        <v>394</v>
      </c>
      <c r="F137" s="5" t="s">
        <v>395</v>
      </c>
      <c r="G137" s="5" t="s">
        <v>394</v>
      </c>
      <c r="I137">
        <f t="shared" si="2"/>
        <v>8.9996453833083079E-2</v>
      </c>
    </row>
    <row r="138" spans="2:9" x14ac:dyDescent="0.2">
      <c r="B138" s="6">
        <v>45756</v>
      </c>
      <c r="C138" s="5">
        <v>2.23</v>
      </c>
      <c r="D138" s="5">
        <v>252802</v>
      </c>
      <c r="E138" s="5" t="s">
        <v>396</v>
      </c>
      <c r="F138" s="5" t="s">
        <v>371</v>
      </c>
      <c r="G138" s="5" t="s">
        <v>297</v>
      </c>
      <c r="I138">
        <f t="shared" si="2"/>
        <v>8.4161792321710616E-2</v>
      </c>
    </row>
    <row r="139" spans="2:9" x14ac:dyDescent="0.2">
      <c r="B139" s="6">
        <v>45725</v>
      </c>
      <c r="C139" s="5">
        <v>2.0499999999999998</v>
      </c>
      <c r="D139" s="5">
        <v>223695</v>
      </c>
      <c r="E139" s="5" t="s">
        <v>308</v>
      </c>
      <c r="F139" s="5" t="s">
        <v>392</v>
      </c>
      <c r="G139" s="5" t="s">
        <v>306</v>
      </c>
      <c r="I139">
        <f t="shared" si="2"/>
        <v>-4.2966035883443388E-2</v>
      </c>
    </row>
    <row r="140" spans="2:9" x14ac:dyDescent="0.2">
      <c r="B140" s="6">
        <v>45697</v>
      </c>
      <c r="C140" s="5">
        <v>2.14</v>
      </c>
      <c r="D140" s="5">
        <v>1446774</v>
      </c>
      <c r="E140" s="5" t="s">
        <v>398</v>
      </c>
      <c r="F140" s="5" t="s">
        <v>309</v>
      </c>
      <c r="G140" s="5" t="s">
        <v>399</v>
      </c>
      <c r="I140">
        <f t="shared" si="2"/>
        <v>0.21268442052407255</v>
      </c>
    </row>
    <row r="141" spans="2:9" x14ac:dyDescent="0.2">
      <c r="B141" s="4" t="s">
        <v>400</v>
      </c>
      <c r="C141" s="5">
        <v>1.73</v>
      </c>
      <c r="D141" s="5">
        <v>185987</v>
      </c>
      <c r="E141" s="5" t="s">
        <v>398</v>
      </c>
      <c r="F141" s="5" t="s">
        <v>282</v>
      </c>
      <c r="G141" s="5" t="s">
        <v>266</v>
      </c>
      <c r="I141">
        <f t="shared" si="2"/>
        <v>-6.7064230580545892E-2</v>
      </c>
    </row>
    <row r="142" spans="2:9" x14ac:dyDescent="0.2">
      <c r="B142" s="4" t="s">
        <v>401</v>
      </c>
      <c r="C142" s="5">
        <v>1.85</v>
      </c>
      <c r="D142" s="5">
        <v>317389</v>
      </c>
      <c r="E142" s="5" t="s">
        <v>402</v>
      </c>
      <c r="F142" s="5" t="s">
        <v>252</v>
      </c>
      <c r="G142" s="5" t="s">
        <v>403</v>
      </c>
      <c r="I142">
        <f t="shared" si="2"/>
        <v>-5.3908486348764884E-3</v>
      </c>
    </row>
    <row r="143" spans="2:9" x14ac:dyDescent="0.2">
      <c r="B143" s="4" t="s">
        <v>404</v>
      </c>
      <c r="C143" s="5">
        <v>1.86</v>
      </c>
      <c r="D143" s="5">
        <v>143515</v>
      </c>
      <c r="E143" s="5" t="s">
        <v>405</v>
      </c>
      <c r="F143" s="5" t="s">
        <v>405</v>
      </c>
      <c r="G143" s="5" t="s">
        <v>406</v>
      </c>
      <c r="I143">
        <f t="shared" si="2"/>
        <v>-1.6000341346441016E-2</v>
      </c>
    </row>
    <row r="144" spans="2:9" x14ac:dyDescent="0.2">
      <c r="B144" s="4" t="s">
        <v>407</v>
      </c>
      <c r="C144" s="5">
        <v>1.89</v>
      </c>
      <c r="D144" s="5">
        <v>211192</v>
      </c>
      <c r="E144" s="5" t="s">
        <v>408</v>
      </c>
      <c r="F144" s="5" t="s">
        <v>299</v>
      </c>
      <c r="G144" s="5" t="s">
        <v>409</v>
      </c>
      <c r="I144">
        <f t="shared" si="2"/>
        <v>-8.612915372993879E-2</v>
      </c>
    </row>
    <row r="145" spans="2:9" x14ac:dyDescent="0.2">
      <c r="B145" s="4" t="s">
        <v>410</v>
      </c>
      <c r="C145" s="5">
        <v>2.06</v>
      </c>
      <c r="D145" s="5">
        <v>450687</v>
      </c>
      <c r="E145" s="5" t="s">
        <v>411</v>
      </c>
      <c r="F145" s="5" t="s">
        <v>292</v>
      </c>
      <c r="G145" s="5" t="s">
        <v>284</v>
      </c>
      <c r="I145">
        <f t="shared" si="2"/>
        <v>4.9761509559063999E-2</v>
      </c>
    </row>
    <row r="146" spans="2:9" x14ac:dyDescent="0.2">
      <c r="B146" s="4" t="s">
        <v>412</v>
      </c>
      <c r="C146" s="5">
        <v>1.96</v>
      </c>
      <c r="D146" s="5">
        <v>254082</v>
      </c>
      <c r="E146" s="5" t="s">
        <v>397</v>
      </c>
      <c r="F146" s="5" t="s">
        <v>397</v>
      </c>
      <c r="G146" s="5" t="s">
        <v>295</v>
      </c>
      <c r="I146">
        <f t="shared" si="2"/>
        <v>-9.7163748453647947E-2</v>
      </c>
    </row>
    <row r="147" spans="2:9" x14ac:dyDescent="0.2">
      <c r="B147" s="4" t="s">
        <v>413</v>
      </c>
      <c r="C147" s="5">
        <v>2.16</v>
      </c>
      <c r="D147" s="5">
        <v>763346</v>
      </c>
      <c r="E147" s="5" t="s">
        <v>308</v>
      </c>
      <c r="F147" s="5" t="s">
        <v>316</v>
      </c>
      <c r="G147" s="5" t="s">
        <v>302</v>
      </c>
      <c r="I147">
        <f t="shared" si="2"/>
        <v>0</v>
      </c>
    </row>
    <row r="148" spans="2:9" x14ac:dyDescent="0.2">
      <c r="B148" s="4" t="s">
        <v>414</v>
      </c>
      <c r="C148" s="5">
        <v>2.16</v>
      </c>
      <c r="D148" s="5">
        <v>159402</v>
      </c>
      <c r="E148" s="5" t="s">
        <v>375</v>
      </c>
      <c r="F148" s="5" t="s">
        <v>375</v>
      </c>
      <c r="G148" s="5" t="s">
        <v>415</v>
      </c>
      <c r="I148">
        <f t="shared" si="2"/>
        <v>-0.10951852580648991</v>
      </c>
    </row>
    <row r="149" spans="2:9" x14ac:dyDescent="0.2">
      <c r="B149" s="4" t="s">
        <v>416</v>
      </c>
      <c r="C149" s="5">
        <v>2.41</v>
      </c>
      <c r="D149" s="5">
        <v>181953</v>
      </c>
      <c r="E149" s="5" t="s">
        <v>417</v>
      </c>
      <c r="F149" s="5" t="s">
        <v>343</v>
      </c>
      <c r="G149" s="5" t="s">
        <v>384</v>
      </c>
      <c r="I149">
        <f t="shared" si="2"/>
        <v>-4.4632154020768255E-2</v>
      </c>
    </row>
    <row r="150" spans="2:9" x14ac:dyDescent="0.2">
      <c r="B150" s="4" t="s">
        <v>418</v>
      </c>
      <c r="C150" s="5">
        <v>2.52</v>
      </c>
      <c r="D150" s="5">
        <v>126699</v>
      </c>
      <c r="E150" s="5" t="s">
        <v>336</v>
      </c>
      <c r="F150" s="5" t="s">
        <v>336</v>
      </c>
      <c r="G150" s="5" t="s">
        <v>419</v>
      </c>
      <c r="I150">
        <f t="shared" si="2"/>
        <v>-4.6520015634892942E-2</v>
      </c>
    </row>
    <row r="151" spans="2:9" x14ac:dyDescent="0.2">
      <c r="B151" s="4" t="s">
        <v>420</v>
      </c>
      <c r="C151" s="5">
        <v>2.64</v>
      </c>
      <c r="D151" s="5">
        <v>173862</v>
      </c>
      <c r="E151" s="5" t="s">
        <v>336</v>
      </c>
      <c r="F151" s="5" t="s">
        <v>421</v>
      </c>
      <c r="G151" s="5" t="s">
        <v>358</v>
      </c>
      <c r="I151">
        <f t="shared" si="2"/>
        <v>1.5267472130788495E-2</v>
      </c>
    </row>
    <row r="152" spans="2:9" x14ac:dyDescent="0.2">
      <c r="B152" s="4" t="s">
        <v>422</v>
      </c>
      <c r="C152" s="5">
        <v>2.6</v>
      </c>
      <c r="D152" s="5">
        <v>146226</v>
      </c>
      <c r="E152" s="5" t="s">
        <v>346</v>
      </c>
      <c r="F152" s="5" t="s">
        <v>423</v>
      </c>
      <c r="G152" s="5" t="s">
        <v>340</v>
      </c>
      <c r="I152">
        <f t="shared" si="2"/>
        <v>-8.1225439922585907E-2</v>
      </c>
    </row>
    <row r="153" spans="2:9" x14ac:dyDescent="0.2">
      <c r="B153" s="4" t="s">
        <v>424</v>
      </c>
      <c r="C153" s="5">
        <v>2.82</v>
      </c>
      <c r="D153" s="5">
        <v>284399</v>
      </c>
      <c r="E153" s="5" t="s">
        <v>425</v>
      </c>
      <c r="F153" s="5" t="s">
        <v>426</v>
      </c>
      <c r="G153" s="5" t="s">
        <v>346</v>
      </c>
      <c r="I153">
        <f t="shared" si="2"/>
        <v>-6.1875403718087529E-2</v>
      </c>
    </row>
    <row r="154" spans="2:9" x14ac:dyDescent="0.2">
      <c r="B154" s="6">
        <v>45999</v>
      </c>
      <c r="C154" s="5">
        <v>3</v>
      </c>
      <c r="D154" s="5">
        <v>307794</v>
      </c>
      <c r="E154" s="5" t="s">
        <v>427</v>
      </c>
      <c r="F154" s="5" t="s">
        <v>427</v>
      </c>
      <c r="G154" s="5" t="s">
        <v>425</v>
      </c>
      <c r="I154">
        <f t="shared" si="2"/>
        <v>-0.1570037488096645</v>
      </c>
    </row>
    <row r="155" spans="2:9" x14ac:dyDescent="0.2">
      <c r="B155" s="6">
        <v>45969</v>
      </c>
      <c r="C155" s="5">
        <v>3.51</v>
      </c>
      <c r="D155" s="5">
        <v>322917</v>
      </c>
      <c r="E155" s="5" t="s">
        <v>429</v>
      </c>
      <c r="F155" s="5" t="s">
        <v>430</v>
      </c>
      <c r="G155" s="5" t="s">
        <v>431</v>
      </c>
      <c r="I155">
        <f t="shared" si="2"/>
        <v>-0.10536051565782634</v>
      </c>
    </row>
    <row r="156" spans="2:9" x14ac:dyDescent="0.2">
      <c r="B156" s="6">
        <v>45877</v>
      </c>
      <c r="C156" s="5">
        <v>3.9</v>
      </c>
      <c r="D156" s="5">
        <v>143495</v>
      </c>
      <c r="E156" s="5" t="s">
        <v>433</v>
      </c>
      <c r="F156" s="5" t="s">
        <v>434</v>
      </c>
      <c r="G156" s="5" t="s">
        <v>429</v>
      </c>
      <c r="I156">
        <f t="shared" si="2"/>
        <v>1.5504186535965081E-2</v>
      </c>
    </row>
    <row r="157" spans="2:9" x14ac:dyDescent="0.2">
      <c r="B157" s="6">
        <v>45846</v>
      </c>
      <c r="C157" s="5">
        <v>3.84</v>
      </c>
      <c r="D157" s="5">
        <v>79368</v>
      </c>
      <c r="E157" s="5" t="s">
        <v>429</v>
      </c>
      <c r="F157" s="5" t="s">
        <v>436</v>
      </c>
      <c r="G157" s="5" t="s">
        <v>437</v>
      </c>
      <c r="I157">
        <f t="shared" si="2"/>
        <v>-2.6007817000572864E-3</v>
      </c>
    </row>
    <row r="158" spans="2:9" x14ac:dyDescent="0.2">
      <c r="B158" s="6">
        <v>45816</v>
      </c>
      <c r="C158" s="5">
        <v>3.85</v>
      </c>
      <c r="D158" s="5">
        <v>83226</v>
      </c>
      <c r="E158" s="5" t="s">
        <v>435</v>
      </c>
      <c r="F158" s="5" t="s">
        <v>438</v>
      </c>
      <c r="G158" s="5" t="s">
        <v>433</v>
      </c>
      <c r="I158">
        <f t="shared" si="2"/>
        <v>-1.0336009330662144E-2</v>
      </c>
    </row>
    <row r="159" spans="2:9" x14ac:dyDescent="0.2">
      <c r="B159" s="6">
        <v>45785</v>
      </c>
      <c r="C159" s="5">
        <v>3.89</v>
      </c>
      <c r="D159" s="5">
        <v>85471</v>
      </c>
      <c r="E159" s="5" t="s">
        <v>430</v>
      </c>
      <c r="F159" s="5" t="s">
        <v>432</v>
      </c>
      <c r="G159" s="5" t="s">
        <v>433</v>
      </c>
      <c r="I159">
        <f t="shared" si="2"/>
        <v>5.1546505886645999E-3</v>
      </c>
    </row>
    <row r="160" spans="2:9" x14ac:dyDescent="0.2">
      <c r="B160" s="6">
        <v>45755</v>
      </c>
      <c r="C160" s="5">
        <v>3.87</v>
      </c>
      <c r="D160" s="5">
        <v>101274</v>
      </c>
      <c r="E160" s="5" t="s">
        <v>435</v>
      </c>
      <c r="F160" s="5" t="s">
        <v>439</v>
      </c>
      <c r="G160" s="5" t="s">
        <v>440</v>
      </c>
      <c r="I160">
        <f t="shared" si="2"/>
        <v>3.4168895615249717E-2</v>
      </c>
    </row>
    <row r="161" spans="2:9" x14ac:dyDescent="0.2">
      <c r="B161" s="6">
        <v>45665</v>
      </c>
      <c r="C161" s="5">
        <v>3.74</v>
      </c>
      <c r="D161" s="5">
        <v>128639</v>
      </c>
      <c r="E161" s="5" t="s">
        <v>442</v>
      </c>
      <c r="F161" s="5" t="s">
        <v>433</v>
      </c>
      <c r="G161" s="5" t="s">
        <v>443</v>
      </c>
      <c r="I161">
        <f t="shared" si="2"/>
        <v>-2.1164811192043054E-2</v>
      </c>
    </row>
    <row r="162" spans="2:9" x14ac:dyDescent="0.2">
      <c r="B162" s="4" t="s">
        <v>444</v>
      </c>
      <c r="C162" s="5">
        <v>3.82</v>
      </c>
      <c r="D162" s="5">
        <v>109529</v>
      </c>
      <c r="E162" s="5" t="s">
        <v>446</v>
      </c>
      <c r="F162" s="5" t="s">
        <v>447</v>
      </c>
      <c r="G162" s="5" t="s">
        <v>445</v>
      </c>
      <c r="I162">
        <f t="shared" si="2"/>
        <v>-2.584123118388737E-2</v>
      </c>
    </row>
    <row r="163" spans="2:9" x14ac:dyDescent="0.2">
      <c r="B163" s="4" t="s">
        <v>448</v>
      </c>
      <c r="C163" s="5">
        <v>3.92</v>
      </c>
      <c r="D163" s="5">
        <v>157966</v>
      </c>
      <c r="E163" s="5" t="s">
        <v>449</v>
      </c>
      <c r="F163" s="5" t="s">
        <v>450</v>
      </c>
      <c r="G163" s="5" t="s">
        <v>433</v>
      </c>
      <c r="I163">
        <f t="shared" si="2"/>
        <v>1.0256500167189042E-2</v>
      </c>
    </row>
    <row r="164" spans="2:9" x14ac:dyDescent="0.2">
      <c r="B164" s="4" t="s">
        <v>451</v>
      </c>
      <c r="C164" s="5">
        <v>3.88</v>
      </c>
      <c r="D164" s="5">
        <v>124712</v>
      </c>
      <c r="E164" s="5" t="s">
        <v>452</v>
      </c>
      <c r="F164" s="5" t="s">
        <v>453</v>
      </c>
      <c r="G164" s="5" t="s">
        <v>440</v>
      </c>
      <c r="I164">
        <f t="shared" si="2"/>
        <v>-1.5345569674660497E-2</v>
      </c>
    </row>
    <row r="165" spans="2:9" x14ac:dyDescent="0.2">
      <c r="B165" s="4" t="s">
        <v>454</v>
      </c>
      <c r="C165" s="5">
        <v>3.94</v>
      </c>
      <c r="D165" s="5">
        <v>246395</v>
      </c>
      <c r="E165" s="5" t="s">
        <v>456</v>
      </c>
      <c r="F165" s="5" t="s">
        <v>457</v>
      </c>
      <c r="G165" s="5" t="s">
        <v>436</v>
      </c>
      <c r="I165">
        <f t="shared" si="2"/>
        <v>7.6433493125680485E-3</v>
      </c>
    </row>
    <row r="166" spans="2:9" x14ac:dyDescent="0.2">
      <c r="B166" s="4" t="s">
        <v>458</v>
      </c>
      <c r="C166" s="5">
        <v>3.91</v>
      </c>
      <c r="D166" s="5">
        <v>151127</v>
      </c>
      <c r="E166" s="5" t="s">
        <v>430</v>
      </c>
      <c r="F166" s="5" t="s">
        <v>459</v>
      </c>
      <c r="G166" s="5" t="s">
        <v>445</v>
      </c>
      <c r="I166">
        <f t="shared" si="2"/>
        <v>2.5908184858664862E-2</v>
      </c>
    </row>
    <row r="167" spans="2:9" x14ac:dyDescent="0.2">
      <c r="B167" s="4" t="s">
        <v>460</v>
      </c>
      <c r="C167" s="5">
        <v>3.81</v>
      </c>
      <c r="D167" s="5">
        <v>279944</v>
      </c>
      <c r="E167" s="5" t="s">
        <v>462</v>
      </c>
      <c r="F167" s="5" t="s">
        <v>450</v>
      </c>
      <c r="G167" s="5" t="s">
        <v>429</v>
      </c>
      <c r="I167">
        <f t="shared" si="2"/>
        <v>-9.0286846672100518E-2</v>
      </c>
    </row>
    <row r="168" spans="2:9" x14ac:dyDescent="0.2">
      <c r="B168" s="4" t="s">
        <v>463</v>
      </c>
      <c r="C168" s="5">
        <v>4.17</v>
      </c>
      <c r="D168" s="5">
        <v>137371</v>
      </c>
      <c r="E168" s="5" t="s">
        <v>464</v>
      </c>
      <c r="F168" s="5" t="s">
        <v>464</v>
      </c>
      <c r="G168" s="5" t="s">
        <v>465</v>
      </c>
      <c r="I168">
        <f t="shared" si="2"/>
        <v>0</v>
      </c>
    </row>
    <row r="169" spans="2:9" x14ac:dyDescent="0.2">
      <c r="B169" s="4" t="s">
        <v>466</v>
      </c>
      <c r="C169" s="5">
        <v>4.17</v>
      </c>
      <c r="D169" s="5">
        <v>196336</v>
      </c>
      <c r="E169" s="5" t="s">
        <v>467</v>
      </c>
      <c r="F169" s="5" t="s">
        <v>468</v>
      </c>
      <c r="G169" s="5" t="s">
        <v>450</v>
      </c>
      <c r="I169">
        <f t="shared" si="2"/>
        <v>-5.1413191276369785E-2</v>
      </c>
    </row>
    <row r="170" spans="2:9" x14ac:dyDescent="0.2">
      <c r="B170" s="4" t="s">
        <v>469</v>
      </c>
      <c r="C170" s="5">
        <v>4.3899999999999997</v>
      </c>
      <c r="D170" s="5">
        <v>1013972</v>
      </c>
      <c r="E170" s="5" t="s">
        <v>464</v>
      </c>
      <c r="F170" s="5" t="s">
        <v>470</v>
      </c>
      <c r="G170" s="5" t="s">
        <v>462</v>
      </c>
      <c r="I170">
        <f t="shared" si="2"/>
        <v>3.9494099039159458E-2</v>
      </c>
    </row>
    <row r="171" spans="2:9" x14ac:dyDescent="0.2">
      <c r="B171" s="4" t="s">
        <v>471</v>
      </c>
      <c r="C171" s="5">
        <v>4.22</v>
      </c>
      <c r="D171" s="5">
        <v>216154</v>
      </c>
      <c r="E171" s="5" t="s">
        <v>467</v>
      </c>
      <c r="F171" s="5" t="s">
        <v>472</v>
      </c>
      <c r="G171" s="5" t="s">
        <v>473</v>
      </c>
      <c r="I171">
        <f t="shared" si="2"/>
        <v>0</v>
      </c>
    </row>
    <row r="172" spans="2:9" x14ac:dyDescent="0.2">
      <c r="B172" s="4" t="s">
        <v>474</v>
      </c>
      <c r="C172" s="5">
        <v>4.22</v>
      </c>
      <c r="D172" s="5">
        <v>278889</v>
      </c>
      <c r="E172" s="5" t="s">
        <v>457</v>
      </c>
      <c r="F172" s="5" t="s">
        <v>475</v>
      </c>
      <c r="G172" s="5" t="s">
        <v>476</v>
      </c>
      <c r="I172">
        <f t="shared" si="2"/>
        <v>-7.0838548884049057E-3</v>
      </c>
    </row>
    <row r="173" spans="2:9" x14ac:dyDescent="0.2">
      <c r="B173" s="4" t="s">
        <v>477</v>
      </c>
      <c r="C173" s="5">
        <v>4.25</v>
      </c>
      <c r="D173" s="5">
        <v>458026</v>
      </c>
      <c r="E173" s="5" t="s">
        <v>478</v>
      </c>
      <c r="F173" s="5" t="s">
        <v>479</v>
      </c>
      <c r="G173" s="5" t="s">
        <v>453</v>
      </c>
      <c r="I173">
        <f t="shared" si="2"/>
        <v>-1.1696039763191335E-2</v>
      </c>
    </row>
    <row r="174" spans="2:9" x14ac:dyDescent="0.2">
      <c r="B174" s="4" t="s">
        <v>480</v>
      </c>
      <c r="C174" s="5">
        <v>4.3</v>
      </c>
      <c r="D174" s="5">
        <v>510735</v>
      </c>
      <c r="E174" s="5" t="s">
        <v>481</v>
      </c>
      <c r="F174" s="5" t="s">
        <v>482</v>
      </c>
      <c r="G174" s="5" t="s">
        <v>483</v>
      </c>
      <c r="I174">
        <f t="shared" si="2"/>
        <v>-7.8252196899748272E-2</v>
      </c>
    </row>
    <row r="175" spans="2:9" x14ac:dyDescent="0.2">
      <c r="B175" s="4" t="s">
        <v>484</v>
      </c>
      <c r="C175" s="5">
        <v>4.6500000000000004</v>
      </c>
      <c r="D175" s="5">
        <v>628650</v>
      </c>
      <c r="E175" s="5" t="s">
        <v>486</v>
      </c>
      <c r="F175" s="5" t="s">
        <v>487</v>
      </c>
      <c r="G175" s="5" t="s">
        <v>488</v>
      </c>
      <c r="I175">
        <f t="shared" si="2"/>
        <v>-4.0047501129275354E-2</v>
      </c>
    </row>
    <row r="176" spans="2:9" x14ac:dyDescent="0.2">
      <c r="B176" s="6">
        <v>45968</v>
      </c>
      <c r="C176" s="5">
        <v>4.84</v>
      </c>
      <c r="D176" s="5">
        <v>1661297</v>
      </c>
      <c r="E176" s="5" t="s">
        <v>489</v>
      </c>
      <c r="F176" s="5" t="s">
        <v>490</v>
      </c>
      <c r="G176" s="5" t="s">
        <v>491</v>
      </c>
      <c r="I176">
        <f t="shared" si="2"/>
        <v>5.085841723349116E-2</v>
      </c>
    </row>
    <row r="177" spans="2:9" x14ac:dyDescent="0.2">
      <c r="B177" s="6">
        <v>45937</v>
      </c>
      <c r="C177" s="5">
        <v>4.5999999999999996</v>
      </c>
      <c r="D177" s="5">
        <v>10920180</v>
      </c>
      <c r="E177" s="5" t="s">
        <v>492</v>
      </c>
      <c r="F177" s="5" t="s">
        <v>493</v>
      </c>
      <c r="G177" s="5" t="s">
        <v>494</v>
      </c>
      <c r="I177">
        <f t="shared" si="2"/>
        <v>-0.18232155679395468</v>
      </c>
    </row>
    <row r="178" spans="2:9" x14ac:dyDescent="0.2">
      <c r="B178" s="6">
        <v>45907</v>
      </c>
      <c r="C178" s="5">
        <v>5.52</v>
      </c>
      <c r="D178" s="5">
        <v>347738</v>
      </c>
      <c r="E178" s="5" t="s">
        <v>495</v>
      </c>
      <c r="F178" s="5" t="s">
        <v>496</v>
      </c>
      <c r="G178" s="5" t="s">
        <v>497</v>
      </c>
      <c r="I178">
        <f t="shared" si="2"/>
        <v>5.9719234701622215E-2</v>
      </c>
    </row>
    <row r="179" spans="2:9" x14ac:dyDescent="0.2">
      <c r="B179" s="6">
        <v>45876</v>
      </c>
      <c r="C179" s="5">
        <v>5.2</v>
      </c>
      <c r="D179" s="5">
        <v>485820</v>
      </c>
      <c r="E179" s="5" t="s">
        <v>498</v>
      </c>
      <c r="F179" s="5" t="s">
        <v>499</v>
      </c>
      <c r="G179" s="5" t="s">
        <v>500</v>
      </c>
      <c r="I179">
        <f t="shared" si="2"/>
        <v>4.5238785478844301E-2</v>
      </c>
    </row>
    <row r="180" spans="2:9" x14ac:dyDescent="0.2">
      <c r="B180" s="6">
        <v>45845</v>
      </c>
      <c r="C180" s="5">
        <v>4.97</v>
      </c>
      <c r="D180" s="5">
        <v>1329499</v>
      </c>
      <c r="E180" s="5" t="s">
        <v>501</v>
      </c>
      <c r="F180" s="5" t="s">
        <v>502</v>
      </c>
      <c r="G180" s="5" t="s">
        <v>488</v>
      </c>
      <c r="I180">
        <f t="shared" si="2"/>
        <v>0.14480481740902063</v>
      </c>
    </row>
    <row r="181" spans="2:9" x14ac:dyDescent="0.2">
      <c r="B181" s="6">
        <v>45723</v>
      </c>
      <c r="C181" s="5">
        <v>4.3</v>
      </c>
      <c r="D181" s="5">
        <v>433193</v>
      </c>
      <c r="E181" s="5" t="s">
        <v>452</v>
      </c>
      <c r="F181" s="5" t="s">
        <v>467</v>
      </c>
      <c r="G181" s="5" t="s">
        <v>433</v>
      </c>
      <c r="I181">
        <f t="shared" si="2"/>
        <v>0.12624900360518176</v>
      </c>
    </row>
    <row r="182" spans="2:9" x14ac:dyDescent="0.2">
      <c r="B182" s="6">
        <v>45695</v>
      </c>
      <c r="C182" s="5">
        <v>3.79</v>
      </c>
      <c r="D182" s="5">
        <v>334301</v>
      </c>
      <c r="E182" s="5" t="s">
        <v>503</v>
      </c>
      <c r="F182" s="5" t="s">
        <v>504</v>
      </c>
      <c r="G182" s="5" t="s">
        <v>503</v>
      </c>
      <c r="I182">
        <f t="shared" si="2"/>
        <v>9.6894547709027945E-2</v>
      </c>
    </row>
    <row r="183" spans="2:9" x14ac:dyDescent="0.2">
      <c r="B183" s="6">
        <v>45664</v>
      </c>
      <c r="C183" s="5">
        <v>3.44</v>
      </c>
      <c r="D183" s="5">
        <v>142035</v>
      </c>
      <c r="E183" s="5" t="s">
        <v>505</v>
      </c>
      <c r="F183" s="5" t="s">
        <v>506</v>
      </c>
      <c r="G183" s="5" t="s">
        <v>507</v>
      </c>
      <c r="I183">
        <f t="shared" si="2"/>
        <v>1.7595761890379702E-2</v>
      </c>
    </row>
    <row r="184" spans="2:9" x14ac:dyDescent="0.2">
      <c r="B184" s="4" t="s">
        <v>508</v>
      </c>
      <c r="C184" s="5">
        <v>3.38</v>
      </c>
      <c r="D184" s="5">
        <v>328653</v>
      </c>
      <c r="E184" s="5" t="s">
        <v>437</v>
      </c>
      <c r="F184" s="5" t="s">
        <v>509</v>
      </c>
      <c r="G184" s="5" t="s">
        <v>510</v>
      </c>
      <c r="I184">
        <f t="shared" si="2"/>
        <v>-9.3156167124416545E-2</v>
      </c>
    </row>
    <row r="185" spans="2:9" x14ac:dyDescent="0.2">
      <c r="B185" s="4" t="s">
        <v>511</v>
      </c>
      <c r="C185" s="5">
        <v>3.71</v>
      </c>
      <c r="D185" s="5">
        <v>373601</v>
      </c>
      <c r="E185" s="5" t="s">
        <v>459</v>
      </c>
      <c r="F185" s="5" t="s">
        <v>453</v>
      </c>
      <c r="G185" s="5" t="s">
        <v>512</v>
      </c>
      <c r="I185">
        <f t="shared" si="2"/>
        <v>-5.2505497377930643E-2</v>
      </c>
    </row>
    <row r="186" spans="2:9" x14ac:dyDescent="0.2">
      <c r="B186" s="4" t="s">
        <v>513</v>
      </c>
      <c r="C186" s="5">
        <v>3.91</v>
      </c>
      <c r="D186" s="5">
        <v>229347</v>
      </c>
      <c r="E186" s="5" t="s">
        <v>445</v>
      </c>
      <c r="F186" s="5" t="s">
        <v>453</v>
      </c>
      <c r="G186" s="5" t="s">
        <v>429</v>
      </c>
      <c r="I186">
        <f t="shared" si="2"/>
        <v>1.2870190520535063E-2</v>
      </c>
    </row>
    <row r="187" spans="2:9" x14ac:dyDescent="0.2">
      <c r="B187" s="4" t="s">
        <v>514</v>
      </c>
      <c r="C187" s="5">
        <v>3.86</v>
      </c>
      <c r="D187" s="5">
        <v>543537</v>
      </c>
      <c r="E187" s="5" t="s">
        <v>435</v>
      </c>
      <c r="F187" s="5" t="s">
        <v>515</v>
      </c>
      <c r="G187" s="5" t="s">
        <v>516</v>
      </c>
      <c r="I187">
        <f t="shared" si="2"/>
        <v>-7.7419741536155495E-3</v>
      </c>
    </row>
    <row r="188" spans="2:9" x14ac:dyDescent="0.2">
      <c r="B188" s="4" t="s">
        <v>517</v>
      </c>
      <c r="C188" s="5">
        <v>3.89</v>
      </c>
      <c r="D188" s="5">
        <v>1288222</v>
      </c>
      <c r="E188" s="5" t="s">
        <v>432</v>
      </c>
      <c r="F188" s="5" t="s">
        <v>462</v>
      </c>
      <c r="G188" s="5" t="s">
        <v>518</v>
      </c>
      <c r="I188">
        <f t="shared" si="2"/>
        <v>5.821749556387612E-2</v>
      </c>
    </row>
    <row r="189" spans="2:9" x14ac:dyDescent="0.2">
      <c r="B189" s="4" t="s">
        <v>519</v>
      </c>
      <c r="C189" s="5">
        <v>3.67</v>
      </c>
      <c r="D189" s="5">
        <v>737446</v>
      </c>
      <c r="E189" s="5" t="s">
        <v>520</v>
      </c>
      <c r="F189" s="5" t="s">
        <v>521</v>
      </c>
      <c r="G189" s="5" t="s">
        <v>522</v>
      </c>
      <c r="I189">
        <f t="shared" si="2"/>
        <v>-0.12532341220669307</v>
      </c>
    </row>
    <row r="190" spans="2:9" x14ac:dyDescent="0.2">
      <c r="B190" s="4" t="s">
        <v>523</v>
      </c>
      <c r="C190" s="5">
        <v>4.16</v>
      </c>
      <c r="D190" s="5">
        <v>650578</v>
      </c>
      <c r="E190" s="5" t="s">
        <v>478</v>
      </c>
      <c r="F190" s="5" t="s">
        <v>524</v>
      </c>
      <c r="G190" s="5" t="s">
        <v>436</v>
      </c>
      <c r="I190">
        <f t="shared" si="2"/>
        <v>-3.0771658666753687E-2</v>
      </c>
    </row>
    <row r="191" spans="2:9" x14ac:dyDescent="0.2">
      <c r="B191" s="4" t="s">
        <v>525</v>
      </c>
      <c r="C191" s="5">
        <v>4.29</v>
      </c>
      <c r="D191" s="5">
        <v>836949</v>
      </c>
      <c r="E191" s="5" t="s">
        <v>485</v>
      </c>
      <c r="F191" s="5" t="s">
        <v>526</v>
      </c>
      <c r="G191" s="5" t="s">
        <v>456</v>
      </c>
      <c r="I191">
        <f t="shared" si="2"/>
        <v>-7.842763329823832E-2</v>
      </c>
    </row>
    <row r="192" spans="2:9" x14ac:dyDescent="0.2">
      <c r="B192" s="4" t="s">
        <v>527</v>
      </c>
      <c r="C192" s="5">
        <v>4.6399999999999997</v>
      </c>
      <c r="D192" s="5">
        <v>1592557</v>
      </c>
      <c r="E192" s="5" t="s">
        <v>441</v>
      </c>
      <c r="F192" s="5" t="s">
        <v>528</v>
      </c>
      <c r="G192" s="5" t="s">
        <v>441</v>
      </c>
      <c r="I192">
        <f t="shared" si="2"/>
        <v>0.11886120287672886</v>
      </c>
    </row>
    <row r="193" spans="2:9" x14ac:dyDescent="0.2">
      <c r="B193" s="4" t="s">
        <v>529</v>
      </c>
      <c r="C193" s="5">
        <v>4.12</v>
      </c>
      <c r="D193" s="5">
        <v>7134869</v>
      </c>
      <c r="E193" s="5" t="s">
        <v>530</v>
      </c>
      <c r="F193" s="5" t="s">
        <v>457</v>
      </c>
      <c r="G193" s="5" t="s">
        <v>531</v>
      </c>
      <c r="I193">
        <f t="shared" si="2"/>
        <v>0.35114242636900683</v>
      </c>
    </row>
    <row r="194" spans="2:9" x14ac:dyDescent="0.2">
      <c r="B194" s="4" t="s">
        <v>532</v>
      </c>
      <c r="C194" s="5">
        <v>2.9</v>
      </c>
      <c r="D194" s="5">
        <v>2585771</v>
      </c>
      <c r="E194" s="5" t="s">
        <v>533</v>
      </c>
      <c r="F194" s="5" t="s">
        <v>534</v>
      </c>
      <c r="G194" s="5" t="s">
        <v>344</v>
      </c>
      <c r="I194">
        <f t="shared" si="2"/>
        <v>-0.70514389684757695</v>
      </c>
    </row>
    <row r="195" spans="2:9" x14ac:dyDescent="0.2">
      <c r="B195" s="6">
        <v>45997</v>
      </c>
      <c r="C195" s="5">
        <v>5.87</v>
      </c>
      <c r="D195" s="5">
        <v>1145091</v>
      </c>
      <c r="E195" s="5" t="s">
        <v>535</v>
      </c>
      <c r="F195" s="5" t="s">
        <v>536</v>
      </c>
      <c r="G195" s="5" t="s">
        <v>537</v>
      </c>
      <c r="I195">
        <f t="shared" si="2"/>
        <v>-9.577468395450528E-2</v>
      </c>
    </row>
    <row r="196" spans="2:9" x14ac:dyDescent="0.2">
      <c r="B196" s="6">
        <v>45967</v>
      </c>
      <c r="C196" s="5">
        <v>6.46</v>
      </c>
      <c r="D196" s="5">
        <v>1638418</v>
      </c>
      <c r="E196" s="5" t="s">
        <v>538</v>
      </c>
      <c r="F196" s="5" t="s">
        <v>539</v>
      </c>
      <c r="G196" s="5" t="s">
        <v>540</v>
      </c>
      <c r="I196">
        <f t="shared" si="2"/>
        <v>-0.12087422822605642</v>
      </c>
    </row>
    <row r="197" spans="2:9" x14ac:dyDescent="0.2">
      <c r="B197" s="6">
        <v>45936</v>
      </c>
      <c r="C197" s="5">
        <v>7.29</v>
      </c>
      <c r="D197" s="5">
        <v>9844459</v>
      </c>
      <c r="E197" s="5" t="s">
        <v>541</v>
      </c>
      <c r="F197" s="5" t="s">
        <v>542</v>
      </c>
      <c r="G197" s="5" t="s">
        <v>488</v>
      </c>
      <c r="I197">
        <f t="shared" ref="I197:I253" si="3">LN(C197)-LN(C198)</f>
        <v>0.27993892285574384</v>
      </c>
    </row>
    <row r="198" spans="2:9" x14ac:dyDescent="0.2">
      <c r="B198" s="6">
        <v>45906</v>
      </c>
      <c r="C198" s="5">
        <v>5.51</v>
      </c>
      <c r="D198" s="5">
        <v>7535911</v>
      </c>
      <c r="E198" s="5" t="s">
        <v>432</v>
      </c>
      <c r="F198" s="5" t="s">
        <v>543</v>
      </c>
      <c r="G198" s="5" t="s">
        <v>461</v>
      </c>
      <c r="I198">
        <f t="shared" si="3"/>
        <v>0.48278919154270739</v>
      </c>
    </row>
    <row r="199" spans="2:9" x14ac:dyDescent="0.2">
      <c r="B199" s="6">
        <v>45814</v>
      </c>
      <c r="C199" s="5">
        <v>3.4</v>
      </c>
      <c r="D199" s="5">
        <v>1016396</v>
      </c>
      <c r="E199" s="5" t="s">
        <v>449</v>
      </c>
      <c r="F199" s="5" t="s">
        <v>455</v>
      </c>
      <c r="G199" s="5" t="s">
        <v>544</v>
      </c>
      <c r="I199">
        <f t="shared" si="3"/>
        <v>-4.8790164169431938E-2</v>
      </c>
    </row>
    <row r="200" spans="2:9" x14ac:dyDescent="0.2">
      <c r="B200" s="6">
        <v>45783</v>
      </c>
      <c r="C200" s="5">
        <v>3.57</v>
      </c>
      <c r="D200" s="5">
        <v>4141270</v>
      </c>
      <c r="E200" s="5" t="s">
        <v>545</v>
      </c>
      <c r="F200" s="5" t="s">
        <v>546</v>
      </c>
      <c r="G200" s="5" t="s">
        <v>547</v>
      </c>
      <c r="I200">
        <f t="shared" si="3"/>
        <v>-0.22705745063534621</v>
      </c>
    </row>
    <row r="201" spans="2:9" x14ac:dyDescent="0.2">
      <c r="B201" s="6">
        <v>45753</v>
      </c>
      <c r="C201" s="5">
        <v>4.4800000000000004</v>
      </c>
      <c r="D201" s="5">
        <v>116715200</v>
      </c>
      <c r="E201" s="5" t="s">
        <v>481</v>
      </c>
      <c r="F201" s="5" t="s">
        <v>548</v>
      </c>
      <c r="G201" s="5" t="s">
        <v>549</v>
      </c>
      <c r="I201">
        <f t="shared" si="3"/>
        <v>0.84729786038720367</v>
      </c>
    </row>
    <row r="202" spans="2:9" x14ac:dyDescent="0.2">
      <c r="B202" s="6">
        <v>45722</v>
      </c>
      <c r="C202" s="5">
        <v>1.92</v>
      </c>
      <c r="D202" s="5">
        <v>435771</v>
      </c>
      <c r="E202" s="5" t="s">
        <v>268</v>
      </c>
      <c r="F202" s="5" t="s">
        <v>291</v>
      </c>
      <c r="G202" s="5" t="s">
        <v>550</v>
      </c>
      <c r="I202">
        <f t="shared" si="3"/>
        <v>0.13394814612086503</v>
      </c>
    </row>
    <row r="203" spans="2:9" x14ac:dyDescent="0.2">
      <c r="B203" s="6">
        <v>45694</v>
      </c>
      <c r="C203" s="5">
        <v>1.6793</v>
      </c>
      <c r="D203" s="5">
        <v>44199</v>
      </c>
      <c r="E203" s="5" t="s">
        <v>265</v>
      </c>
      <c r="F203" s="5" t="s">
        <v>551</v>
      </c>
      <c r="G203" s="5" t="s">
        <v>552</v>
      </c>
      <c r="I203">
        <f t="shared" si="3"/>
        <v>1.7601752006335958E-2</v>
      </c>
    </row>
    <row r="204" spans="2:9" x14ac:dyDescent="0.2">
      <c r="B204" s="4" t="s">
        <v>553</v>
      </c>
      <c r="C204" s="5">
        <v>1.65</v>
      </c>
      <c r="D204" s="5">
        <v>85549</v>
      </c>
      <c r="E204" s="5" t="s">
        <v>550</v>
      </c>
      <c r="F204" s="5" t="s">
        <v>271</v>
      </c>
      <c r="G204" s="5" t="s">
        <v>261</v>
      </c>
      <c r="I204">
        <f t="shared" si="3"/>
        <v>6.0790460763821552E-3</v>
      </c>
    </row>
    <row r="205" spans="2:9" x14ac:dyDescent="0.2">
      <c r="B205" s="4" t="s">
        <v>554</v>
      </c>
      <c r="C205" s="5">
        <v>1.64</v>
      </c>
      <c r="D205" s="5">
        <v>61057</v>
      </c>
      <c r="E205" s="5" t="s">
        <v>273</v>
      </c>
      <c r="F205" s="5" t="s">
        <v>555</v>
      </c>
      <c r="G205" s="5" t="s">
        <v>260</v>
      </c>
      <c r="I205">
        <f t="shared" si="3"/>
        <v>-2.7069321968218041E-2</v>
      </c>
    </row>
    <row r="206" spans="2:9" x14ac:dyDescent="0.2">
      <c r="B206" s="4" t="s">
        <v>556</v>
      </c>
      <c r="C206" s="5">
        <v>1.6850000000000001</v>
      </c>
      <c r="D206" s="5">
        <v>41877</v>
      </c>
      <c r="E206" s="5" t="s">
        <v>557</v>
      </c>
      <c r="F206" s="5" t="s">
        <v>558</v>
      </c>
      <c r="G206" s="5" t="s">
        <v>264</v>
      </c>
      <c r="I206">
        <f t="shared" si="3"/>
        <v>6.4340716765449557E-2</v>
      </c>
    </row>
    <row r="207" spans="2:9" x14ac:dyDescent="0.2">
      <c r="B207" s="4" t="s">
        <v>559</v>
      </c>
      <c r="C207" s="5">
        <v>1.58</v>
      </c>
      <c r="D207" s="5">
        <v>319919</v>
      </c>
      <c r="E207" s="5" t="s">
        <v>560</v>
      </c>
      <c r="F207" s="5" t="s">
        <v>293</v>
      </c>
      <c r="G207" s="5" t="s">
        <v>260</v>
      </c>
      <c r="I207">
        <f t="shared" si="3"/>
        <v>-7.9068523475692987E-2</v>
      </c>
    </row>
    <row r="208" spans="2:9" x14ac:dyDescent="0.2">
      <c r="B208" s="4" t="s">
        <v>561</v>
      </c>
      <c r="C208" s="5">
        <v>1.71</v>
      </c>
      <c r="D208" s="5">
        <v>128401</v>
      </c>
      <c r="E208" s="5" t="s">
        <v>558</v>
      </c>
      <c r="F208" s="5" t="s">
        <v>282</v>
      </c>
      <c r="G208" s="5" t="s">
        <v>276</v>
      </c>
      <c r="I208">
        <f t="shared" si="3"/>
        <v>1.7699577099400954E-2</v>
      </c>
    </row>
    <row r="209" spans="2:9" x14ac:dyDescent="0.2">
      <c r="B209" s="4" t="s">
        <v>562</v>
      </c>
      <c r="C209" s="5">
        <v>1.68</v>
      </c>
      <c r="D209" s="5">
        <v>127544</v>
      </c>
      <c r="E209" s="5" t="s">
        <v>276</v>
      </c>
      <c r="F209" s="5" t="s">
        <v>277</v>
      </c>
      <c r="G209" s="5" t="s">
        <v>552</v>
      </c>
      <c r="I209">
        <f t="shared" si="3"/>
        <v>-3.5091319811270116E-2</v>
      </c>
    </row>
    <row r="210" spans="2:9" x14ac:dyDescent="0.2">
      <c r="B210" s="4" t="s">
        <v>563</v>
      </c>
      <c r="C210" s="5">
        <v>1.74</v>
      </c>
      <c r="D210" s="5">
        <v>186279</v>
      </c>
      <c r="E210" s="5" t="s">
        <v>564</v>
      </c>
      <c r="F210" s="5" t="s">
        <v>398</v>
      </c>
      <c r="G210" s="5" t="s">
        <v>565</v>
      </c>
      <c r="I210">
        <f t="shared" si="3"/>
        <v>-5.7306747089850285E-3</v>
      </c>
    </row>
    <row r="211" spans="2:9" x14ac:dyDescent="0.2">
      <c r="B211" s="4" t="s">
        <v>566</v>
      </c>
      <c r="C211" s="5">
        <v>1.75</v>
      </c>
      <c r="D211" s="5">
        <v>252202</v>
      </c>
      <c r="E211" s="5" t="s">
        <v>277</v>
      </c>
      <c r="F211" s="5" t="s">
        <v>289</v>
      </c>
      <c r="G211" s="5" t="s">
        <v>273</v>
      </c>
      <c r="I211">
        <f t="shared" si="3"/>
        <v>-7.6961041136128339E-2</v>
      </c>
    </row>
    <row r="212" spans="2:9" x14ac:dyDescent="0.2">
      <c r="B212" s="4" t="s">
        <v>567</v>
      </c>
      <c r="C212" s="5">
        <v>1.89</v>
      </c>
      <c r="D212" s="5">
        <v>577389</v>
      </c>
      <c r="E212" s="5" t="s">
        <v>252</v>
      </c>
      <c r="F212" s="5" t="s">
        <v>297</v>
      </c>
      <c r="G212" s="5" t="s">
        <v>564</v>
      </c>
      <c r="I212">
        <f t="shared" si="3"/>
        <v>-7.1458963982144907E-2</v>
      </c>
    </row>
    <row r="213" spans="2:9" x14ac:dyDescent="0.2">
      <c r="B213" s="4" t="s">
        <v>568</v>
      </c>
      <c r="C213" s="5">
        <v>2.0299999999999998</v>
      </c>
      <c r="D213" s="5">
        <v>635240</v>
      </c>
      <c r="E213" s="5" t="s">
        <v>278</v>
      </c>
      <c r="F213" s="5" t="s">
        <v>387</v>
      </c>
      <c r="G213" s="5" t="s">
        <v>274</v>
      </c>
      <c r="I213">
        <f t="shared" si="3"/>
        <v>0.12582017320103223</v>
      </c>
    </row>
    <row r="214" spans="2:9" x14ac:dyDescent="0.2">
      <c r="B214" s="4" t="s">
        <v>569</v>
      </c>
      <c r="C214" s="5">
        <v>1.79</v>
      </c>
      <c r="D214" s="5">
        <v>1571653</v>
      </c>
      <c r="E214" s="5" t="s">
        <v>366</v>
      </c>
      <c r="F214" s="5" t="s">
        <v>331</v>
      </c>
      <c r="G214" s="5" t="s">
        <v>570</v>
      </c>
      <c r="I214">
        <f t="shared" si="3"/>
        <v>-0.37329582517477267</v>
      </c>
    </row>
    <row r="215" spans="2:9" x14ac:dyDescent="0.2">
      <c r="B215" s="4" t="s">
        <v>571</v>
      </c>
      <c r="C215" s="5">
        <v>2.6</v>
      </c>
      <c r="D215" s="5">
        <v>807176</v>
      </c>
      <c r="E215" s="5" t="s">
        <v>357</v>
      </c>
      <c r="F215" s="5" t="s">
        <v>572</v>
      </c>
      <c r="G215" s="5" t="s">
        <v>292</v>
      </c>
      <c r="I215">
        <f t="shared" si="3"/>
        <v>-0.12629372532429206</v>
      </c>
    </row>
    <row r="216" spans="2:9" x14ac:dyDescent="0.2">
      <c r="B216" s="4" t="s">
        <v>573</v>
      </c>
      <c r="C216" s="5">
        <v>2.95</v>
      </c>
      <c r="D216" s="5">
        <v>20394</v>
      </c>
      <c r="E216" s="5" t="s">
        <v>575</v>
      </c>
      <c r="F216" s="5" t="s">
        <v>576</v>
      </c>
      <c r="G216" s="5" t="s">
        <v>574</v>
      </c>
      <c r="I216">
        <f t="shared" si="3"/>
        <v>-0.89227585567028123</v>
      </c>
    </row>
    <row r="217" spans="2:9" x14ac:dyDescent="0.2">
      <c r="B217" s="6">
        <v>45996</v>
      </c>
      <c r="C217" s="5">
        <v>7.2</v>
      </c>
      <c r="D217" s="5">
        <v>2605</v>
      </c>
      <c r="E217" s="5" t="s">
        <v>577</v>
      </c>
      <c r="F217" s="5" t="s">
        <v>577</v>
      </c>
      <c r="G217" s="5" t="s">
        <v>577</v>
      </c>
      <c r="I217">
        <f t="shared" si="3"/>
        <v>0</v>
      </c>
    </row>
    <row r="218" spans="2:9" x14ac:dyDescent="0.2">
      <c r="B218" s="6">
        <v>45905</v>
      </c>
      <c r="C218" s="5">
        <v>7.2</v>
      </c>
      <c r="D218" s="5">
        <v>2103</v>
      </c>
      <c r="E218" s="5" t="s">
        <v>578</v>
      </c>
      <c r="F218" s="5" t="s">
        <v>577</v>
      </c>
      <c r="G218" s="5" t="s">
        <v>578</v>
      </c>
      <c r="I218">
        <f t="shared" si="3"/>
        <v>2.8170876966696401E-2</v>
      </c>
    </row>
    <row r="219" spans="2:9" x14ac:dyDescent="0.2">
      <c r="B219" s="6">
        <v>45874</v>
      </c>
      <c r="C219" s="5">
        <v>7</v>
      </c>
      <c r="D219" s="5">
        <v>2500</v>
      </c>
      <c r="E219" s="5" t="s">
        <v>577</v>
      </c>
      <c r="F219" s="5" t="s">
        <v>580</v>
      </c>
      <c r="G219" s="5" t="s">
        <v>579</v>
      </c>
      <c r="I219">
        <f t="shared" si="3"/>
        <v>-1.4184634991956546E-2</v>
      </c>
    </row>
    <row r="220" spans="2:9" x14ac:dyDescent="0.2">
      <c r="B220" s="6">
        <v>45843</v>
      </c>
      <c r="C220" s="5">
        <v>7.1</v>
      </c>
      <c r="D220" s="5">
        <v>2200</v>
      </c>
      <c r="E220" s="5" t="s">
        <v>582</v>
      </c>
      <c r="F220" s="5" t="s">
        <v>582</v>
      </c>
      <c r="G220" s="5" t="s">
        <v>581</v>
      </c>
      <c r="I220">
        <f t="shared" si="3"/>
        <v>-1.3986241974739855E-2</v>
      </c>
    </row>
    <row r="221" spans="2:9" x14ac:dyDescent="0.2">
      <c r="B221" s="6">
        <v>45813</v>
      </c>
      <c r="C221" s="5">
        <v>7.2</v>
      </c>
      <c r="D221" s="5">
        <v>2100</v>
      </c>
      <c r="E221" s="5" t="s">
        <v>577</v>
      </c>
      <c r="F221" s="5" t="s">
        <v>583</v>
      </c>
      <c r="G221" s="5" t="s">
        <v>579</v>
      </c>
      <c r="I221">
        <f t="shared" si="3"/>
        <v>1.3986241974739855E-2</v>
      </c>
    </row>
    <row r="222" spans="2:9" x14ac:dyDescent="0.2">
      <c r="B222" s="6">
        <v>45782</v>
      </c>
      <c r="C222" s="5">
        <v>7.1</v>
      </c>
      <c r="D222" s="5">
        <v>2172</v>
      </c>
      <c r="E222" s="5" t="s">
        <v>577</v>
      </c>
      <c r="F222" s="5" t="s">
        <v>584</v>
      </c>
      <c r="G222" s="5" t="s">
        <v>581</v>
      </c>
      <c r="I222">
        <f t="shared" si="3"/>
        <v>-3.4605529177475391E-2</v>
      </c>
    </row>
    <row r="223" spans="2:9" x14ac:dyDescent="0.2">
      <c r="B223" s="6">
        <v>45693</v>
      </c>
      <c r="C223" s="5">
        <v>7.35</v>
      </c>
      <c r="D223" s="5">
        <v>2400</v>
      </c>
      <c r="E223" s="5" t="s">
        <v>582</v>
      </c>
      <c r="F223" s="5" t="s">
        <v>585</v>
      </c>
      <c r="G223" s="5" t="s">
        <v>577</v>
      </c>
      <c r="I223">
        <f t="shared" si="3"/>
        <v>4.8790164169431938E-2</v>
      </c>
    </row>
    <row r="224" spans="2:9" x14ac:dyDescent="0.2">
      <c r="B224" s="6">
        <v>45662</v>
      </c>
      <c r="C224" s="5">
        <v>7</v>
      </c>
      <c r="D224" s="5">
        <v>2807</v>
      </c>
      <c r="E224" s="5" t="s">
        <v>582</v>
      </c>
      <c r="F224" s="5" t="s">
        <v>575</v>
      </c>
      <c r="G224" s="5" t="s">
        <v>579</v>
      </c>
      <c r="I224">
        <f t="shared" si="3"/>
        <v>0.84729786038720345</v>
      </c>
    </row>
    <row r="225" spans="2:9" x14ac:dyDescent="0.2">
      <c r="B225" s="4" t="s">
        <v>586</v>
      </c>
      <c r="C225" s="5">
        <v>3</v>
      </c>
      <c r="D225" s="5">
        <v>715</v>
      </c>
      <c r="E225" s="5" t="s">
        <v>331</v>
      </c>
      <c r="F225" s="5" t="s">
        <v>331</v>
      </c>
      <c r="G225" s="5" t="s">
        <v>331</v>
      </c>
      <c r="I225">
        <f t="shared" si="3"/>
        <v>-0.98082925301172597</v>
      </c>
    </row>
    <row r="226" spans="2:9" x14ac:dyDescent="0.2">
      <c r="B226" s="4" t="s">
        <v>587</v>
      </c>
      <c r="C226" s="5">
        <v>8</v>
      </c>
      <c r="D226" s="5">
        <v>0</v>
      </c>
      <c r="E226" s="5" t="s">
        <v>588</v>
      </c>
      <c r="F226" s="5" t="s">
        <v>588</v>
      </c>
      <c r="G226" s="5" t="s">
        <v>588</v>
      </c>
      <c r="I226">
        <f t="shared" si="3"/>
        <v>0</v>
      </c>
    </row>
    <row r="227" spans="2:9" x14ac:dyDescent="0.2">
      <c r="B227" s="4" t="s">
        <v>589</v>
      </c>
      <c r="C227" s="5">
        <v>8</v>
      </c>
      <c r="D227" s="5">
        <v>0</v>
      </c>
      <c r="E227" s="5" t="s">
        <v>588</v>
      </c>
      <c r="F227" s="5" t="s">
        <v>588</v>
      </c>
      <c r="G227" s="5" t="s">
        <v>588</v>
      </c>
      <c r="I227">
        <f t="shared" si="3"/>
        <v>0</v>
      </c>
    </row>
    <row r="228" spans="2:9" x14ac:dyDescent="0.2">
      <c r="B228" s="4" t="s">
        <v>590</v>
      </c>
      <c r="C228" s="5">
        <v>8</v>
      </c>
      <c r="D228" s="5">
        <v>0</v>
      </c>
      <c r="E228" s="5" t="s">
        <v>588</v>
      </c>
      <c r="F228" s="5" t="s">
        <v>588</v>
      </c>
      <c r="G228" s="5" t="s">
        <v>588</v>
      </c>
      <c r="I228">
        <f t="shared" si="3"/>
        <v>0</v>
      </c>
    </row>
    <row r="229" spans="2:9" x14ac:dyDescent="0.2">
      <c r="B229" s="4" t="s">
        <v>591</v>
      </c>
      <c r="C229" s="5">
        <v>8</v>
      </c>
      <c r="D229" s="5">
        <v>0</v>
      </c>
      <c r="E229" s="5" t="s">
        <v>588</v>
      </c>
      <c r="F229" s="5" t="s">
        <v>588</v>
      </c>
      <c r="G229" s="5" t="s">
        <v>588</v>
      </c>
      <c r="I229">
        <f t="shared" si="3"/>
        <v>0</v>
      </c>
    </row>
    <row r="230" spans="2:9" x14ac:dyDescent="0.2">
      <c r="B230" s="4" t="s">
        <v>592</v>
      </c>
      <c r="C230" s="5">
        <v>8</v>
      </c>
      <c r="D230" s="5">
        <v>0</v>
      </c>
      <c r="E230" s="5" t="s">
        <v>588</v>
      </c>
      <c r="F230" s="5" t="s">
        <v>588</v>
      </c>
      <c r="G230" s="5" t="s">
        <v>588</v>
      </c>
      <c r="I230">
        <f t="shared" si="3"/>
        <v>0</v>
      </c>
    </row>
    <row r="231" spans="2:9" x14ac:dyDescent="0.2">
      <c r="B231" s="4" t="s">
        <v>593</v>
      </c>
      <c r="C231" s="5">
        <v>8</v>
      </c>
      <c r="D231" s="5">
        <v>0</v>
      </c>
      <c r="E231" s="5" t="s">
        <v>588</v>
      </c>
      <c r="F231" s="5" t="s">
        <v>588</v>
      </c>
      <c r="G231" s="5" t="s">
        <v>588</v>
      </c>
      <c r="I231">
        <f t="shared" si="3"/>
        <v>0</v>
      </c>
    </row>
    <row r="232" spans="2:9" x14ac:dyDescent="0.2">
      <c r="B232" s="4" t="s">
        <v>594</v>
      </c>
      <c r="C232" s="5">
        <v>8</v>
      </c>
      <c r="D232" s="5">
        <v>0</v>
      </c>
      <c r="E232" s="5" t="s">
        <v>588</v>
      </c>
      <c r="F232" s="5" t="s">
        <v>588</v>
      </c>
      <c r="G232" s="5" t="s">
        <v>588</v>
      </c>
      <c r="I232">
        <f t="shared" si="3"/>
        <v>0</v>
      </c>
    </row>
    <row r="233" spans="2:9" x14ac:dyDescent="0.2">
      <c r="B233" s="4" t="s">
        <v>595</v>
      </c>
      <c r="C233" s="5">
        <v>8</v>
      </c>
      <c r="D233" s="5">
        <v>0</v>
      </c>
      <c r="E233" s="5" t="s">
        <v>588</v>
      </c>
      <c r="F233" s="5" t="s">
        <v>588</v>
      </c>
      <c r="G233" s="5" t="s">
        <v>588</v>
      </c>
      <c r="I233">
        <f t="shared" si="3"/>
        <v>0</v>
      </c>
    </row>
    <row r="234" spans="2:9" x14ac:dyDescent="0.2">
      <c r="B234" s="4" t="s">
        <v>596</v>
      </c>
      <c r="C234" s="5">
        <v>8</v>
      </c>
      <c r="D234" s="5">
        <v>101</v>
      </c>
      <c r="E234" s="5" t="s">
        <v>588</v>
      </c>
      <c r="F234" s="5" t="s">
        <v>588</v>
      </c>
      <c r="G234" s="5" t="s">
        <v>588</v>
      </c>
      <c r="I234">
        <f t="shared" si="3"/>
        <v>-0.17185025692665956</v>
      </c>
    </row>
    <row r="235" spans="2:9" x14ac:dyDescent="0.2">
      <c r="B235" s="4" t="s">
        <v>597</v>
      </c>
      <c r="C235" s="5">
        <v>9.5</v>
      </c>
      <c r="D235" s="5">
        <v>2500</v>
      </c>
      <c r="E235" s="5" t="s">
        <v>588</v>
      </c>
      <c r="F235" s="5" t="s">
        <v>598</v>
      </c>
      <c r="G235" s="5" t="s">
        <v>588</v>
      </c>
      <c r="I235">
        <f t="shared" si="3"/>
        <v>0.16561970717602303</v>
      </c>
    </row>
    <row r="236" spans="2:9" x14ac:dyDescent="0.2">
      <c r="B236" s="4" t="s">
        <v>599</v>
      </c>
      <c r="C236" s="5">
        <v>8.0500000000000007</v>
      </c>
      <c r="D236" s="5">
        <v>3959</v>
      </c>
      <c r="E236" s="5" t="s">
        <v>601</v>
      </c>
      <c r="F236" s="5" t="s">
        <v>602</v>
      </c>
      <c r="G236" s="5" t="s">
        <v>601</v>
      </c>
      <c r="I236">
        <f t="shared" si="3"/>
        <v>6.2305497506365271E-3</v>
      </c>
    </row>
    <row r="237" spans="2:9" x14ac:dyDescent="0.2">
      <c r="B237" s="6">
        <v>45965</v>
      </c>
      <c r="C237" s="5">
        <v>8</v>
      </c>
      <c r="D237" s="5">
        <v>3602</v>
      </c>
      <c r="E237" s="5" t="s">
        <v>588</v>
      </c>
      <c r="F237" s="5" t="s">
        <v>603</v>
      </c>
      <c r="G237" s="5" t="s">
        <v>604</v>
      </c>
      <c r="I237">
        <f t="shared" si="3"/>
        <v>-2.4692612590371699E-2</v>
      </c>
    </row>
    <row r="238" spans="2:9" x14ac:dyDescent="0.2">
      <c r="B238" s="6">
        <v>45934</v>
      </c>
      <c r="C238" s="5">
        <v>8.1999999999999993</v>
      </c>
      <c r="D238" s="5">
        <v>7922</v>
      </c>
      <c r="E238" s="5" t="s">
        <v>605</v>
      </c>
      <c r="F238" s="5" t="s">
        <v>606</v>
      </c>
      <c r="G238" s="5" t="s">
        <v>605</v>
      </c>
      <c r="I238">
        <f t="shared" si="3"/>
        <v>9.8040000966208574E-3</v>
      </c>
    </row>
    <row r="239" spans="2:9" x14ac:dyDescent="0.2">
      <c r="B239" s="6">
        <v>45904</v>
      </c>
      <c r="C239" s="5">
        <v>8.1199999999999992</v>
      </c>
      <c r="D239" s="5">
        <v>3368</v>
      </c>
      <c r="E239" s="5" t="s">
        <v>602</v>
      </c>
      <c r="F239" s="5" t="s">
        <v>602</v>
      </c>
      <c r="G239" s="5" t="s">
        <v>607</v>
      </c>
      <c r="I239">
        <f t="shared" si="3"/>
        <v>2.4660924951933616E-3</v>
      </c>
    </row>
    <row r="240" spans="2:9" x14ac:dyDescent="0.2">
      <c r="B240" s="6">
        <v>45873</v>
      </c>
      <c r="C240" s="5">
        <v>8.1</v>
      </c>
      <c r="D240" s="5">
        <v>3009</v>
      </c>
      <c r="E240" s="5" t="s">
        <v>600</v>
      </c>
      <c r="F240" s="5" t="s">
        <v>608</v>
      </c>
      <c r="G240" s="5" t="s">
        <v>600</v>
      </c>
      <c r="I240">
        <f t="shared" si="3"/>
        <v>0</v>
      </c>
    </row>
    <row r="241" spans="2:9" x14ac:dyDescent="0.2">
      <c r="B241" s="6">
        <v>45842</v>
      </c>
      <c r="C241" s="5">
        <v>8.1</v>
      </c>
      <c r="D241" s="5">
        <v>3079</v>
      </c>
      <c r="E241" s="5" t="s">
        <v>600</v>
      </c>
      <c r="F241" s="5" t="s">
        <v>609</v>
      </c>
      <c r="G241" s="5" t="s">
        <v>588</v>
      </c>
      <c r="I241">
        <f t="shared" si="3"/>
        <v>2.4721891453891587E-3</v>
      </c>
    </row>
    <row r="242" spans="2:9" x14ac:dyDescent="0.2">
      <c r="B242" s="6">
        <v>45751</v>
      </c>
      <c r="C242" s="5">
        <v>8.08</v>
      </c>
      <c r="D242" s="5">
        <v>2519</v>
      </c>
      <c r="E242" s="5" t="s">
        <v>600</v>
      </c>
      <c r="F242" s="5" t="s">
        <v>610</v>
      </c>
      <c r="G242" s="5" t="s">
        <v>611</v>
      </c>
      <c r="I242">
        <f t="shared" si="3"/>
        <v>-2.4451095864164163E-2</v>
      </c>
    </row>
    <row r="243" spans="2:9" x14ac:dyDescent="0.2">
      <c r="B243" s="6">
        <v>45720</v>
      </c>
      <c r="C243" s="5">
        <v>8.2799999999999994</v>
      </c>
      <c r="D243" s="5">
        <v>5586</v>
      </c>
      <c r="E243" s="5" t="s">
        <v>600</v>
      </c>
      <c r="F243" s="5" t="s">
        <v>612</v>
      </c>
      <c r="G243" s="5" t="s">
        <v>588</v>
      </c>
      <c r="I243">
        <f t="shared" si="3"/>
        <v>2.1978906718775004E-2</v>
      </c>
    </row>
    <row r="244" spans="2:9" x14ac:dyDescent="0.2">
      <c r="B244" s="6">
        <v>45692</v>
      </c>
      <c r="C244" s="5">
        <v>8.1</v>
      </c>
      <c r="D244" s="5">
        <v>2472</v>
      </c>
      <c r="E244" s="5" t="s">
        <v>613</v>
      </c>
      <c r="F244" s="5" t="s">
        <v>608</v>
      </c>
      <c r="G244" s="5" t="s">
        <v>575</v>
      </c>
      <c r="I244">
        <f t="shared" si="3"/>
        <v>1.242251999855748E-2</v>
      </c>
    </row>
    <row r="245" spans="2:9" x14ac:dyDescent="0.2">
      <c r="B245" s="6">
        <v>45661</v>
      </c>
      <c r="C245" s="5">
        <v>8</v>
      </c>
      <c r="D245" s="5">
        <v>2570</v>
      </c>
      <c r="E245" s="5" t="s">
        <v>602</v>
      </c>
      <c r="F245" s="5" t="s">
        <v>614</v>
      </c>
      <c r="G245" s="5" t="s">
        <v>588</v>
      </c>
      <c r="I245">
        <f t="shared" si="3"/>
        <v>-6.062462181643502E-2</v>
      </c>
    </row>
    <row r="246" spans="2:9" x14ac:dyDescent="0.2">
      <c r="B246" s="4" t="s">
        <v>615</v>
      </c>
      <c r="C246" s="5">
        <v>8.5</v>
      </c>
      <c r="D246" s="5">
        <v>2525</v>
      </c>
      <c r="E246" s="5" t="s">
        <v>601</v>
      </c>
      <c r="F246" s="5" t="s">
        <v>616</v>
      </c>
      <c r="G246" s="5" t="s">
        <v>601</v>
      </c>
      <c r="I246">
        <f t="shared" si="3"/>
        <v>0</v>
      </c>
    </row>
    <row r="247" spans="2:9" x14ac:dyDescent="0.2">
      <c r="B247" s="4" t="s">
        <v>617</v>
      </c>
      <c r="C247" s="5">
        <v>8.5</v>
      </c>
      <c r="D247" s="5">
        <v>2110</v>
      </c>
      <c r="E247" s="5" t="s">
        <v>618</v>
      </c>
      <c r="F247" s="5" t="s">
        <v>618</v>
      </c>
      <c r="G247" s="5" t="s">
        <v>588</v>
      </c>
      <c r="I247">
        <f t="shared" si="3"/>
        <v>5.937540241600292E-2</v>
      </c>
    </row>
    <row r="248" spans="2:9" x14ac:dyDescent="0.2">
      <c r="B248" s="4" t="s">
        <v>619</v>
      </c>
      <c r="C248" s="5">
        <v>8.01</v>
      </c>
      <c r="D248" s="5">
        <v>2286</v>
      </c>
      <c r="E248" s="5" t="s">
        <v>616</v>
      </c>
      <c r="F248" s="5" t="s">
        <v>621</v>
      </c>
      <c r="G248" s="5" t="s">
        <v>620</v>
      </c>
      <c r="I248">
        <f t="shared" si="3"/>
        <v>-0.10311079592381089</v>
      </c>
    </row>
    <row r="249" spans="2:9" x14ac:dyDescent="0.2">
      <c r="B249" s="4" t="s">
        <v>622</v>
      </c>
      <c r="C249" s="5">
        <v>8.8800000000000008</v>
      </c>
      <c r="D249" s="5">
        <v>2802</v>
      </c>
      <c r="E249" s="5" t="s">
        <v>575</v>
      </c>
      <c r="F249" s="5" t="s">
        <v>623</v>
      </c>
      <c r="G249" s="5" t="s">
        <v>579</v>
      </c>
      <c r="I249">
        <f t="shared" si="3"/>
        <v>0.19729801098351185</v>
      </c>
    </row>
    <row r="250" spans="2:9" x14ac:dyDescent="0.2">
      <c r="B250" s="4" t="s">
        <v>624</v>
      </c>
      <c r="C250" s="5">
        <v>7.29</v>
      </c>
      <c r="D250" s="5">
        <v>2555</v>
      </c>
      <c r="E250" s="5" t="s">
        <v>485</v>
      </c>
      <c r="F250" s="5" t="s">
        <v>576</v>
      </c>
      <c r="G250" s="5" t="s">
        <v>485</v>
      </c>
      <c r="I250">
        <f t="shared" si="3"/>
        <v>0.13020555565494063</v>
      </c>
    </row>
    <row r="251" spans="2:9" x14ac:dyDescent="0.2">
      <c r="B251" s="4" t="s">
        <v>625</v>
      </c>
      <c r="C251" s="5">
        <v>6.4</v>
      </c>
      <c r="D251" s="5">
        <v>329</v>
      </c>
      <c r="E251" s="5" t="s">
        <v>627</v>
      </c>
      <c r="F251" s="5" t="s">
        <v>627</v>
      </c>
      <c r="G251" s="5" t="s">
        <v>626</v>
      </c>
      <c r="I251">
        <f t="shared" si="3"/>
        <v>0.46750674904714851</v>
      </c>
    </row>
    <row r="252" spans="2:9" x14ac:dyDescent="0.2">
      <c r="B252" s="4" t="s">
        <v>628</v>
      </c>
      <c r="C252" s="5">
        <v>4.01</v>
      </c>
      <c r="D252" s="5">
        <v>1021</v>
      </c>
      <c r="E252" s="5" t="s">
        <v>428</v>
      </c>
      <c r="F252" s="5" t="s">
        <v>605</v>
      </c>
      <c r="G252" s="5" t="s">
        <v>428</v>
      </c>
      <c r="I252">
        <f t="shared" si="3"/>
        <v>-0.49827840771390197</v>
      </c>
    </row>
    <row r="253" spans="2:9" x14ac:dyDescent="0.2">
      <c r="B253" s="4" t="s">
        <v>629</v>
      </c>
      <c r="C253" s="5">
        <v>6.6</v>
      </c>
      <c r="D253" s="5">
        <v>1145</v>
      </c>
      <c r="E253" s="5" t="s">
        <v>630</v>
      </c>
      <c r="F253" s="5" t="s">
        <v>618</v>
      </c>
      <c r="G253" s="5" t="s">
        <v>631</v>
      </c>
      <c r="I253">
        <f t="shared" si="3"/>
        <v>3.8614836127779606E-2</v>
      </c>
    </row>
    <row r="254" spans="2:9" x14ac:dyDescent="0.2">
      <c r="B254" s="4" t="s">
        <v>632</v>
      </c>
      <c r="C254" s="5">
        <v>6.35</v>
      </c>
      <c r="D254" s="5">
        <v>0</v>
      </c>
      <c r="E254" s="5" t="s">
        <v>633</v>
      </c>
      <c r="F254" s="5" t="s">
        <v>633</v>
      </c>
      <c r="G254" s="5" t="s">
        <v>633</v>
      </c>
      <c r="I254">
        <v>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AB5-2EC6-BC4C-8D1D-A8453693789E}">
  <dimension ref="A1:O255"/>
  <sheetViews>
    <sheetView zoomScaleNormal="100" workbookViewId="0"/>
  </sheetViews>
  <sheetFormatPr baseColWidth="10" defaultColWidth="11" defaultRowHeight="16" x14ac:dyDescent="0.2"/>
  <cols>
    <col min="2" max="2" width="17.83203125" customWidth="1"/>
    <col min="3" max="3" width="11.1640625" bestFit="1" customWidth="1"/>
    <col min="4" max="4" width="14" bestFit="1" customWidth="1"/>
    <col min="6" max="7" width="14.83203125" bestFit="1" customWidth="1"/>
    <col min="9" max="9" width="11" bestFit="1" customWidth="1"/>
    <col min="13" max="13" width="12.5" bestFit="1" customWidth="1"/>
    <col min="14" max="14" width="11" bestFit="1" customWidth="1"/>
    <col min="15" max="15" width="12.83203125" bestFit="1" customWidth="1"/>
    <col min="16" max="16" width="12.33203125" bestFit="1" customWidth="1"/>
  </cols>
  <sheetData>
    <row r="1" spans="1:15" ht="22" x14ac:dyDescent="0.3">
      <c r="A1" s="7" t="s">
        <v>641</v>
      </c>
    </row>
    <row r="3" spans="1:15" ht="22" x14ac:dyDescent="0.3">
      <c r="A3" s="8"/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I3" s="7" t="s">
        <v>646</v>
      </c>
      <c r="L3" s="7" t="s">
        <v>642</v>
      </c>
      <c r="M3" s="26">
        <f>AVERAGE(I4:I254)</f>
        <v>2.1005430581831513E-4</v>
      </c>
    </row>
    <row r="4" spans="1:15" ht="22" x14ac:dyDescent="0.3">
      <c r="A4" s="8"/>
      <c r="B4" s="9" t="s">
        <v>644</v>
      </c>
      <c r="C4" s="10">
        <v>615.67999999999995</v>
      </c>
      <c r="D4" s="10">
        <v>11726300</v>
      </c>
      <c r="E4" s="10" t="s">
        <v>647</v>
      </c>
      <c r="F4" s="10" t="s">
        <v>648</v>
      </c>
      <c r="G4" s="10" t="s">
        <v>649</v>
      </c>
      <c r="I4" s="13">
        <f t="shared" ref="I4:I67" si="0">LN(C4)-LN(C5)</f>
        <v>-1.1273275387958748E-2</v>
      </c>
      <c r="L4" s="7" t="s">
        <v>636</v>
      </c>
      <c r="M4" s="26">
        <f>_xlfn.VAR.S(I4:I254)</f>
        <v>5.8399170823227866E-4</v>
      </c>
    </row>
    <row r="5" spans="1:15" ht="22" x14ac:dyDescent="0.3">
      <c r="A5" s="8"/>
      <c r="B5" s="9" t="s">
        <v>6</v>
      </c>
      <c r="C5" s="10">
        <v>622.66</v>
      </c>
      <c r="D5" s="10">
        <v>10348760</v>
      </c>
      <c r="E5" s="10" t="s">
        <v>650</v>
      </c>
      <c r="F5" s="10" t="s">
        <v>651</v>
      </c>
      <c r="G5" s="10" t="s">
        <v>652</v>
      </c>
      <c r="I5" s="13">
        <f t="shared" si="0"/>
        <v>-7.663363131070966E-3</v>
      </c>
      <c r="L5" s="7" t="s">
        <v>643</v>
      </c>
      <c r="M5" s="26">
        <f>SQRT(M4)</f>
        <v>2.4165920388685359E-2</v>
      </c>
    </row>
    <row r="6" spans="1:15" ht="22" x14ac:dyDescent="0.3">
      <c r="A6" s="8"/>
      <c r="B6" s="9" t="s">
        <v>10</v>
      </c>
      <c r="C6" s="10">
        <v>627.45000000000005</v>
      </c>
      <c r="D6" s="10">
        <v>15134850</v>
      </c>
      <c r="E6" s="10" t="s">
        <v>653</v>
      </c>
      <c r="F6" s="10" t="s">
        <v>654</v>
      </c>
      <c r="G6" s="10" t="s">
        <v>655</v>
      </c>
      <c r="I6" s="3">
        <f t="shared" si="0"/>
        <v>2.2141482687535685E-2</v>
      </c>
    </row>
    <row r="7" spans="1:15" ht="22" x14ac:dyDescent="0.3">
      <c r="A7" s="8"/>
      <c r="B7" s="9" t="s">
        <v>14</v>
      </c>
      <c r="C7" s="10">
        <v>613.71</v>
      </c>
      <c r="D7" s="10">
        <v>18957640</v>
      </c>
      <c r="E7" s="10" t="s">
        <v>656</v>
      </c>
      <c r="F7" s="10" t="s">
        <v>657</v>
      </c>
      <c r="G7" s="10" t="s">
        <v>658</v>
      </c>
      <c r="I7" s="3">
        <f t="shared" si="0"/>
        <v>-3.909787134579723E-2</v>
      </c>
    </row>
    <row r="8" spans="1:15" ht="22" x14ac:dyDescent="0.3">
      <c r="A8" s="8"/>
      <c r="B8" s="11">
        <v>46359</v>
      </c>
      <c r="C8" s="10">
        <v>638.17999999999995</v>
      </c>
      <c r="D8" s="10">
        <v>11617490</v>
      </c>
      <c r="E8" s="10" t="s">
        <v>659</v>
      </c>
      <c r="F8" s="10" t="s">
        <v>660</v>
      </c>
      <c r="G8" s="10" t="s">
        <v>661</v>
      </c>
      <c r="I8" s="3">
        <f t="shared" si="0"/>
        <v>-2.5801097116911365E-2</v>
      </c>
      <c r="L8" s="21"/>
      <c r="M8" s="29" t="s">
        <v>1980</v>
      </c>
      <c r="N8" s="19" t="s">
        <v>1978</v>
      </c>
      <c r="O8" s="19" t="s">
        <v>1979</v>
      </c>
    </row>
    <row r="9" spans="1:15" ht="22" x14ac:dyDescent="0.3">
      <c r="A9" s="8"/>
      <c r="B9" s="11">
        <v>46329</v>
      </c>
      <c r="C9" s="10">
        <v>654.86</v>
      </c>
      <c r="D9" s="10">
        <v>8977162</v>
      </c>
      <c r="E9" s="10" t="s">
        <v>662</v>
      </c>
      <c r="F9" s="10" t="s">
        <v>663</v>
      </c>
      <c r="G9" s="10" t="s">
        <v>664</v>
      </c>
      <c r="I9" s="3">
        <f t="shared" si="0"/>
        <v>1.2070929628382743E-3</v>
      </c>
      <c r="L9" s="28" t="s">
        <v>637</v>
      </c>
      <c r="M9" s="24">
        <f>_xlfn.COVARIANCE.S(Kenechukwu!I4:'Kenechukwu'!I254,I4:I254)</f>
        <v>2.1523673414648956E-4</v>
      </c>
      <c r="N9" s="23">
        <f>_xlfn.COVARIANCE.S(Kenechukwu!I4:'Kenechukwu'!I254,Lisa!I4:'Lisa'!I254)</f>
        <v>3.1143538674375214E-4</v>
      </c>
      <c r="O9" s="23">
        <f>_xlfn.COVARIANCE.S(Lisa!I4:'Lisa'!I254,I4:I254)</f>
        <v>1.0409410922340643E-4</v>
      </c>
    </row>
    <row r="10" spans="1:15" ht="22" x14ac:dyDescent="0.3">
      <c r="A10" s="8"/>
      <c r="B10" s="11">
        <v>46298</v>
      </c>
      <c r="C10" s="10">
        <v>654.07000000000005</v>
      </c>
      <c r="D10" s="10">
        <v>9859250</v>
      </c>
      <c r="E10" s="10" t="s">
        <v>665</v>
      </c>
      <c r="F10" s="10" t="s">
        <v>666</v>
      </c>
      <c r="G10" s="10" t="s">
        <v>667</v>
      </c>
      <c r="I10" s="3">
        <f t="shared" si="0"/>
        <v>1.0265484396793312E-2</v>
      </c>
      <c r="L10" s="28" t="s">
        <v>638</v>
      </c>
      <c r="M10" s="24">
        <f>CORREL(Kenechukwu!I4:'Kenechukwu'!I254,I4:I254)</f>
        <v>5.5103214702408948E-2</v>
      </c>
      <c r="N10" s="20">
        <f>CORREL(Kenechukwu!I4:'Kenechukwu'!I254,Lisa!I4:'Lisa'!I254)</f>
        <v>7.5288013332299411E-2</v>
      </c>
      <c r="O10" s="20">
        <f>CORREL(Lisa!I4:'Lisa'!I254,I4:I254)</f>
        <v>0.1683126700445127</v>
      </c>
    </row>
    <row r="11" spans="1:15" ht="22" x14ac:dyDescent="0.3">
      <c r="A11" s="8"/>
      <c r="B11" s="11">
        <v>46268</v>
      </c>
      <c r="C11" s="10">
        <v>647.39</v>
      </c>
      <c r="D11" s="10">
        <v>13489740</v>
      </c>
      <c r="E11" s="10" t="s">
        <v>668</v>
      </c>
      <c r="F11" s="10" t="s">
        <v>669</v>
      </c>
      <c r="G11" s="10" t="s">
        <v>670</v>
      </c>
      <c r="I11" s="13">
        <f t="shared" si="0"/>
        <v>3.9156559993376305E-3</v>
      </c>
    </row>
    <row r="12" spans="1:15" ht="22" x14ac:dyDescent="0.3">
      <c r="A12" s="8"/>
      <c r="B12" s="11">
        <v>46176</v>
      </c>
      <c r="C12" s="10">
        <v>644.86</v>
      </c>
      <c r="D12" s="10">
        <v>13159360</v>
      </c>
      <c r="E12" s="10" t="s">
        <v>671</v>
      </c>
      <c r="F12" s="10" t="s">
        <v>672</v>
      </c>
      <c r="G12" s="10" t="s">
        <v>673</v>
      </c>
      <c r="I12" s="13">
        <f t="shared" si="0"/>
        <v>-2.406985969228348E-2</v>
      </c>
    </row>
    <row r="13" spans="1:15" ht="22" x14ac:dyDescent="0.3">
      <c r="A13" s="8"/>
      <c r="B13" s="11">
        <v>46145</v>
      </c>
      <c r="C13" s="10">
        <v>660.57</v>
      </c>
      <c r="D13" s="10">
        <v>13341370</v>
      </c>
      <c r="E13" s="10" t="s">
        <v>674</v>
      </c>
      <c r="F13" s="10" t="s">
        <v>675</v>
      </c>
      <c r="G13" s="10" t="s">
        <v>676</v>
      </c>
      <c r="I13" s="13">
        <f t="shared" si="0"/>
        <v>-1.0780801547626062E-2</v>
      </c>
    </row>
    <row r="14" spans="1:15" ht="22" x14ac:dyDescent="0.3">
      <c r="A14" s="8"/>
      <c r="B14" s="11">
        <v>46115</v>
      </c>
      <c r="C14" s="10">
        <v>667.73</v>
      </c>
      <c r="D14" s="10">
        <v>10810050</v>
      </c>
      <c r="E14" s="10" t="s">
        <v>677</v>
      </c>
      <c r="F14" s="10" t="s">
        <v>678</v>
      </c>
      <c r="G14" s="10" t="s">
        <v>679</v>
      </c>
      <c r="I14" s="13">
        <f t="shared" si="0"/>
        <v>1.9126534630763636E-2</v>
      </c>
    </row>
    <row r="15" spans="1:15" ht="22" x14ac:dyDescent="0.3">
      <c r="A15" s="8"/>
      <c r="B15" s="11">
        <v>46084</v>
      </c>
      <c r="C15" s="10">
        <v>655.08000000000004</v>
      </c>
      <c r="D15" s="10">
        <v>12263750</v>
      </c>
      <c r="E15" s="10" t="s">
        <v>680</v>
      </c>
      <c r="F15" s="10" t="s">
        <v>681</v>
      </c>
      <c r="G15" s="10" t="s">
        <v>682</v>
      </c>
      <c r="I15" s="13">
        <f t="shared" si="0"/>
        <v>2.3230234190441124E-3</v>
      </c>
    </row>
    <row r="16" spans="1:15" ht="22" x14ac:dyDescent="0.3">
      <c r="A16" s="8"/>
      <c r="B16" s="11">
        <v>46056</v>
      </c>
      <c r="C16" s="10">
        <v>653.55999999999995</v>
      </c>
      <c r="D16" s="10">
        <v>9816125</v>
      </c>
      <c r="E16" s="10" t="s">
        <v>683</v>
      </c>
      <c r="F16" s="10" t="s">
        <v>684</v>
      </c>
      <c r="G16" s="10" t="s">
        <v>685</v>
      </c>
      <c r="I16" s="13">
        <f t="shared" si="0"/>
        <v>8.265906605673834E-3</v>
      </c>
    </row>
    <row r="17" spans="1:9" ht="22" x14ac:dyDescent="0.3">
      <c r="A17" s="8"/>
      <c r="B17" s="9" t="s">
        <v>39</v>
      </c>
      <c r="C17" s="10">
        <v>648.17999999999995</v>
      </c>
      <c r="D17" s="10">
        <v>15703040</v>
      </c>
      <c r="E17" s="10" t="s">
        <v>686</v>
      </c>
      <c r="F17" s="10" t="s">
        <v>687</v>
      </c>
      <c r="G17" s="10" t="s">
        <v>688</v>
      </c>
      <c r="I17" s="13">
        <f t="shared" si="0"/>
        <v>-1.3530803511980771E-2</v>
      </c>
    </row>
    <row r="18" spans="1:9" ht="22" x14ac:dyDescent="0.3">
      <c r="A18" s="8"/>
      <c r="B18" s="9" t="s">
        <v>41</v>
      </c>
      <c r="C18" s="10">
        <v>657.01</v>
      </c>
      <c r="D18" s="10">
        <v>10637740</v>
      </c>
      <c r="E18" s="10" t="s">
        <v>689</v>
      </c>
      <c r="F18" s="10" t="s">
        <v>690</v>
      </c>
      <c r="G18" s="10" t="s">
        <v>691</v>
      </c>
      <c r="I18" s="13">
        <f t="shared" si="0"/>
        <v>5.0660061043501514E-3</v>
      </c>
    </row>
    <row r="19" spans="1:9" ht="22" x14ac:dyDescent="0.3">
      <c r="A19" s="8"/>
      <c r="B19" s="9" t="s">
        <v>45</v>
      </c>
      <c r="C19" s="10">
        <v>653.69000000000005</v>
      </c>
      <c r="D19" s="10">
        <v>11330690</v>
      </c>
      <c r="E19" s="10" t="s">
        <v>692</v>
      </c>
      <c r="F19" s="10" t="s">
        <v>693</v>
      </c>
      <c r="G19" s="10" t="s">
        <v>694</v>
      </c>
      <c r="I19" s="13">
        <f t="shared" si="0"/>
        <v>2.2259405191897841E-2</v>
      </c>
    </row>
    <row r="20" spans="1:9" ht="22" x14ac:dyDescent="0.3">
      <c r="A20" s="8"/>
      <c r="B20" s="9" t="s">
        <v>49</v>
      </c>
      <c r="C20" s="10">
        <v>639.29999999999995</v>
      </c>
      <c r="D20" s="10">
        <v>10135650</v>
      </c>
      <c r="E20" s="10" t="s">
        <v>695</v>
      </c>
      <c r="F20" s="10" t="s">
        <v>696</v>
      </c>
      <c r="G20" s="10" t="s">
        <v>697</v>
      </c>
      <c r="I20" s="13">
        <f t="shared" si="0"/>
        <v>3.2117845164565395E-3</v>
      </c>
    </row>
    <row r="21" spans="1:9" ht="22" x14ac:dyDescent="0.3">
      <c r="A21" s="8"/>
      <c r="B21" s="9" t="s">
        <v>52</v>
      </c>
      <c r="C21" s="10">
        <v>637.25</v>
      </c>
      <c r="D21" s="10">
        <v>8605909</v>
      </c>
      <c r="E21" s="10" t="s">
        <v>698</v>
      </c>
      <c r="F21" s="10" t="s">
        <v>699</v>
      </c>
      <c r="G21" s="10" t="s">
        <v>700</v>
      </c>
      <c r="I21" s="13">
        <f t="shared" si="0"/>
        <v>-2.8480318644857228E-2</v>
      </c>
    </row>
    <row r="22" spans="1:9" ht="22" x14ac:dyDescent="0.3">
      <c r="A22" s="8"/>
      <c r="B22" s="9" t="s">
        <v>56</v>
      </c>
      <c r="C22" s="10">
        <v>655.66</v>
      </c>
      <c r="D22" s="10">
        <v>14183510</v>
      </c>
      <c r="E22" s="10" t="s">
        <v>701</v>
      </c>
      <c r="F22" s="10" t="s">
        <v>702</v>
      </c>
      <c r="G22" s="10" t="s">
        <v>703</v>
      </c>
      <c r="I22" s="13">
        <f t="shared" si="0"/>
        <v>1.6733188559438616E-2</v>
      </c>
    </row>
    <row r="23" spans="1:9" ht="22" x14ac:dyDescent="0.3">
      <c r="A23" s="8"/>
      <c r="B23" s="9" t="s">
        <v>60</v>
      </c>
      <c r="C23" s="10">
        <v>644.78</v>
      </c>
      <c r="D23" s="10">
        <v>10035700</v>
      </c>
      <c r="E23" s="10" t="s">
        <v>704</v>
      </c>
      <c r="F23" s="10" t="s">
        <v>705</v>
      </c>
      <c r="G23" s="10" t="s">
        <v>706</v>
      </c>
      <c r="I23" s="13">
        <f t="shared" si="0"/>
        <v>2.4223614329486054E-3</v>
      </c>
    </row>
    <row r="24" spans="1:9" ht="22" x14ac:dyDescent="0.3">
      <c r="A24" s="8"/>
      <c r="B24" s="9" t="s">
        <v>63</v>
      </c>
      <c r="C24" s="10">
        <v>643.22</v>
      </c>
      <c r="D24" s="10">
        <v>14649200</v>
      </c>
      <c r="E24" s="10" t="s">
        <v>707</v>
      </c>
      <c r="F24" s="10" t="s">
        <v>708</v>
      </c>
      <c r="G24" s="10" t="s">
        <v>709</v>
      </c>
      <c r="I24" s="13">
        <f t="shared" si="0"/>
        <v>6.128626366908918E-3</v>
      </c>
    </row>
    <row r="25" spans="1:9" ht="22" x14ac:dyDescent="0.3">
      <c r="A25" s="8"/>
      <c r="B25" s="9" t="s">
        <v>67</v>
      </c>
      <c r="C25" s="10">
        <v>639.29</v>
      </c>
      <c r="D25" s="10">
        <v>12674740</v>
      </c>
      <c r="E25" s="10" t="s">
        <v>710</v>
      </c>
      <c r="F25" s="10" t="s">
        <v>711</v>
      </c>
      <c r="G25" s="10" t="s">
        <v>712</v>
      </c>
      <c r="I25" s="13">
        <f t="shared" si="0"/>
        <v>-7.5055122126155283E-4</v>
      </c>
    </row>
    <row r="26" spans="1:9" ht="22" x14ac:dyDescent="0.3">
      <c r="A26" s="8"/>
      <c r="B26" s="9" t="s">
        <v>70</v>
      </c>
      <c r="C26" s="10">
        <v>639.77</v>
      </c>
      <c r="D26" s="10">
        <v>12336360</v>
      </c>
      <c r="E26" s="10" t="s">
        <v>713</v>
      </c>
      <c r="F26" s="10" t="s">
        <v>714</v>
      </c>
      <c r="G26" s="10" t="s">
        <v>715</v>
      </c>
      <c r="I26" s="13">
        <f t="shared" si="0"/>
        <v>-1.5571275704107101E-2</v>
      </c>
    </row>
    <row r="27" spans="1:9" ht="22" x14ac:dyDescent="0.3">
      <c r="A27" s="8"/>
      <c r="B27" s="11">
        <v>46358</v>
      </c>
      <c r="C27" s="10">
        <v>649.80999999999995</v>
      </c>
      <c r="D27" s="10">
        <v>14960110</v>
      </c>
      <c r="E27" s="10" t="s">
        <v>716</v>
      </c>
      <c r="F27" s="10" t="s">
        <v>717</v>
      </c>
      <c r="G27" s="10" t="s">
        <v>718</v>
      </c>
      <c r="I27" s="13">
        <f t="shared" si="0"/>
        <v>-2.8640562091847066E-2</v>
      </c>
    </row>
    <row r="28" spans="1:9" ht="22" x14ac:dyDescent="0.3">
      <c r="A28" s="8"/>
      <c r="B28" s="11">
        <v>46328</v>
      </c>
      <c r="C28" s="10">
        <v>668.69</v>
      </c>
      <c r="D28" s="10">
        <v>14323820</v>
      </c>
      <c r="E28" s="10" t="s">
        <v>719</v>
      </c>
      <c r="F28" s="10" t="s">
        <v>720</v>
      </c>
      <c r="G28" s="10" t="s">
        <v>721</v>
      </c>
      <c r="I28" s="13">
        <f t="shared" si="0"/>
        <v>-3.0311876935664728E-3</v>
      </c>
    </row>
    <row r="29" spans="1:9" ht="22" x14ac:dyDescent="0.3">
      <c r="A29" s="8"/>
      <c r="B29" s="11">
        <v>46297</v>
      </c>
      <c r="C29" s="10">
        <v>670.72</v>
      </c>
      <c r="D29" s="10">
        <v>10455820</v>
      </c>
      <c r="E29" s="10" t="s">
        <v>722</v>
      </c>
      <c r="F29" s="10" t="s">
        <v>723</v>
      </c>
      <c r="G29" s="10" t="s">
        <v>724</v>
      </c>
      <c r="I29" s="13">
        <f t="shared" si="0"/>
        <v>-9.6444209430224248E-3</v>
      </c>
    </row>
    <row r="30" spans="1:9" ht="22" x14ac:dyDescent="0.3">
      <c r="A30" s="8"/>
      <c r="B30" s="11">
        <v>46267</v>
      </c>
      <c r="C30" s="10">
        <v>677.22</v>
      </c>
      <c r="D30" s="10">
        <v>14837530</v>
      </c>
      <c r="E30" s="10" t="s">
        <v>725</v>
      </c>
      <c r="F30" s="10" t="s">
        <v>726</v>
      </c>
      <c r="G30" s="10" t="s">
        <v>727</v>
      </c>
      <c r="I30" s="13">
        <f t="shared" si="0"/>
        <v>2.3546670100778933E-2</v>
      </c>
    </row>
    <row r="31" spans="1:9" ht="22" x14ac:dyDescent="0.3">
      <c r="A31" s="8"/>
      <c r="B31" s="11">
        <v>46175</v>
      </c>
      <c r="C31" s="10">
        <v>661.46</v>
      </c>
      <c r="D31" s="10">
        <v>18159250</v>
      </c>
      <c r="E31" s="10" t="s">
        <v>728</v>
      </c>
      <c r="F31" s="10" t="s">
        <v>729</v>
      </c>
      <c r="G31" s="10" t="s">
        <v>730</v>
      </c>
      <c r="I31" s="13">
        <f t="shared" si="0"/>
        <v>-1.3141583016211378E-2</v>
      </c>
    </row>
    <row r="32" spans="1:9" ht="22" x14ac:dyDescent="0.3">
      <c r="A32" s="8"/>
      <c r="B32" s="11">
        <v>46144</v>
      </c>
      <c r="C32" s="10">
        <v>670.21</v>
      </c>
      <c r="D32" s="10">
        <v>17131790</v>
      </c>
      <c r="E32" s="10" t="s">
        <v>731</v>
      </c>
      <c r="F32" s="10" t="s">
        <v>732</v>
      </c>
      <c r="G32" s="10" t="s">
        <v>660</v>
      </c>
      <c r="I32" s="13">
        <f t="shared" si="0"/>
        <v>1.8219837776207726E-3</v>
      </c>
    </row>
    <row r="33" spans="1:9" ht="22" x14ac:dyDescent="0.3">
      <c r="A33" s="8"/>
      <c r="B33" s="11">
        <v>46114</v>
      </c>
      <c r="C33" s="10">
        <v>668.99</v>
      </c>
      <c r="D33" s="10">
        <v>16882760</v>
      </c>
      <c r="E33" s="10" t="s">
        <v>733</v>
      </c>
      <c r="F33" s="10" t="s">
        <v>734</v>
      </c>
      <c r="G33" s="10" t="s">
        <v>735</v>
      </c>
      <c r="I33" s="13">
        <f t="shared" si="0"/>
        <v>-3.3383223273137475E-2</v>
      </c>
    </row>
    <row r="34" spans="1:9" ht="22" x14ac:dyDescent="0.3">
      <c r="A34" s="8"/>
      <c r="B34" s="11">
        <v>46083</v>
      </c>
      <c r="C34" s="10">
        <v>691.7</v>
      </c>
      <c r="D34" s="10">
        <v>13760660</v>
      </c>
      <c r="E34" s="10" t="s">
        <v>736</v>
      </c>
      <c r="F34" s="10" t="s">
        <v>737</v>
      </c>
      <c r="G34" s="10" t="s">
        <v>738</v>
      </c>
      <c r="I34" s="13">
        <f t="shared" si="0"/>
        <v>-2.1043469868402553E-2</v>
      </c>
    </row>
    <row r="35" spans="1:9" ht="22" x14ac:dyDescent="0.3">
      <c r="A35" s="8"/>
      <c r="B35" s="11">
        <v>46055</v>
      </c>
      <c r="C35" s="10">
        <v>706.41</v>
      </c>
      <c r="D35" s="10">
        <v>14365220</v>
      </c>
      <c r="E35" s="10" t="s">
        <v>739</v>
      </c>
      <c r="F35" s="10" t="s">
        <v>740</v>
      </c>
      <c r="G35" s="10" t="s">
        <v>741</v>
      </c>
      <c r="I35" s="13">
        <f t="shared" si="0"/>
        <v>-1.4182441793284539E-2</v>
      </c>
    </row>
    <row r="36" spans="1:9" ht="22" x14ac:dyDescent="0.3">
      <c r="A36" s="8"/>
      <c r="B36" s="9" t="s">
        <v>98</v>
      </c>
      <c r="C36" s="10">
        <v>716.5</v>
      </c>
      <c r="D36" s="10">
        <v>23744570</v>
      </c>
      <c r="E36" s="10" t="s">
        <v>742</v>
      </c>
      <c r="F36" s="10" t="s">
        <v>743</v>
      </c>
      <c r="G36" s="10" t="s">
        <v>744</v>
      </c>
      <c r="I36" s="13">
        <f t="shared" si="0"/>
        <v>-2.9985543334720255E-2</v>
      </c>
    </row>
    <row r="37" spans="1:9" ht="22" x14ac:dyDescent="0.3">
      <c r="A37" s="8"/>
      <c r="B37" s="9" t="s">
        <v>101</v>
      </c>
      <c r="C37" s="10">
        <v>738.31</v>
      </c>
      <c r="D37" s="10">
        <v>59852900</v>
      </c>
      <c r="E37" s="10" t="s">
        <v>745</v>
      </c>
      <c r="F37" s="10" t="s">
        <v>746</v>
      </c>
      <c r="G37" s="10" t="s">
        <v>747</v>
      </c>
      <c r="I37" s="13">
        <f t="shared" si="0"/>
        <v>9.8983399381996406E-2</v>
      </c>
    </row>
    <row r="38" spans="1:9" ht="28" x14ac:dyDescent="0.3">
      <c r="A38" s="12"/>
      <c r="B38" s="9" t="s">
        <v>105</v>
      </c>
      <c r="C38" s="10">
        <v>668.73</v>
      </c>
      <c r="D38" s="10">
        <v>25709600</v>
      </c>
      <c r="E38" s="10" t="s">
        <v>748</v>
      </c>
      <c r="F38" s="10" t="s">
        <v>749</v>
      </c>
      <c r="G38" s="10" t="s">
        <v>750</v>
      </c>
      <c r="I38" s="13">
        <f t="shared" si="0"/>
        <v>-6.3203609071837974E-3</v>
      </c>
    </row>
    <row r="39" spans="1:9" ht="22" x14ac:dyDescent="0.3">
      <c r="A39" s="8"/>
      <c r="B39" s="9" t="s">
        <v>109</v>
      </c>
      <c r="C39" s="10">
        <v>672.97</v>
      </c>
      <c r="D39" s="10">
        <v>13297350</v>
      </c>
      <c r="E39" s="10" t="s">
        <v>751</v>
      </c>
      <c r="F39" s="10" t="s">
        <v>752</v>
      </c>
      <c r="G39" s="10" t="s">
        <v>753</v>
      </c>
      <c r="I39" s="13">
        <f t="shared" si="0"/>
        <v>9.0684076294067495E-4</v>
      </c>
    </row>
    <row r="40" spans="1:9" ht="22" x14ac:dyDescent="0.3">
      <c r="A40" s="8"/>
      <c r="B40" s="9" t="s">
        <v>113</v>
      </c>
      <c r="C40" s="10">
        <v>672.36</v>
      </c>
      <c r="D40" s="10">
        <v>16327380</v>
      </c>
      <c r="E40" s="10" t="s">
        <v>754</v>
      </c>
      <c r="F40" s="10" t="s">
        <v>755</v>
      </c>
      <c r="G40" s="10" t="s">
        <v>756</v>
      </c>
      <c r="I40" s="13">
        <f t="shared" si="0"/>
        <v>2.0434631359186106E-2</v>
      </c>
    </row>
    <row r="41" spans="1:9" ht="22" x14ac:dyDescent="0.3">
      <c r="A41" s="8"/>
      <c r="B41" s="9" t="s">
        <v>117</v>
      </c>
      <c r="C41" s="10">
        <v>658.76</v>
      </c>
      <c r="D41" s="10">
        <v>22797720</v>
      </c>
      <c r="E41" s="10" t="s">
        <v>757</v>
      </c>
      <c r="F41" s="10" t="s">
        <v>758</v>
      </c>
      <c r="G41" s="10" t="s">
        <v>759</v>
      </c>
      <c r="I41" s="13">
        <f t="shared" si="0"/>
        <v>1.7039734383583749E-2</v>
      </c>
    </row>
    <row r="42" spans="1:9" ht="22" x14ac:dyDescent="0.3">
      <c r="A42" s="8"/>
      <c r="B42" s="9" t="s">
        <v>121</v>
      </c>
      <c r="C42" s="10">
        <v>647.63</v>
      </c>
      <c r="D42" s="10">
        <v>21394670</v>
      </c>
      <c r="E42" s="10" t="s">
        <v>760</v>
      </c>
      <c r="F42" s="10" t="s">
        <v>761</v>
      </c>
      <c r="G42" s="10" t="s">
        <v>762</v>
      </c>
      <c r="I42" s="13">
        <f t="shared" si="0"/>
        <v>5.5019864670084573E-2</v>
      </c>
    </row>
    <row r="43" spans="1:9" ht="22" x14ac:dyDescent="0.3">
      <c r="A43" s="8"/>
      <c r="B43" s="9" t="s">
        <v>123</v>
      </c>
      <c r="C43" s="10">
        <v>612.96</v>
      </c>
      <c r="D43" s="10">
        <v>14494660</v>
      </c>
      <c r="E43" s="10" t="s">
        <v>763</v>
      </c>
      <c r="F43" s="10" t="s">
        <v>764</v>
      </c>
      <c r="G43" s="10" t="s">
        <v>765</v>
      </c>
      <c r="I43" s="13">
        <f t="shared" si="0"/>
        <v>1.4526827254198516E-2</v>
      </c>
    </row>
    <row r="44" spans="1:9" ht="22" x14ac:dyDescent="0.3">
      <c r="A44" s="8"/>
      <c r="B44" s="9" t="s">
        <v>126</v>
      </c>
      <c r="C44" s="10">
        <v>604.12</v>
      </c>
      <c r="D44" s="10">
        <v>15169570</v>
      </c>
      <c r="E44" s="10" t="s">
        <v>766</v>
      </c>
      <c r="F44" s="10" t="s">
        <v>767</v>
      </c>
      <c r="G44" s="10" t="s">
        <v>768</v>
      </c>
      <c r="I44" s="13">
        <f t="shared" si="0"/>
        <v>-2.6349768873769719E-2</v>
      </c>
    </row>
    <row r="45" spans="1:9" ht="22" x14ac:dyDescent="0.3">
      <c r="A45" s="8"/>
      <c r="B45" s="9" t="s">
        <v>129</v>
      </c>
      <c r="C45" s="10">
        <v>620.25</v>
      </c>
      <c r="D45" s="10">
        <v>17012520</v>
      </c>
      <c r="E45" s="10" t="s">
        <v>769</v>
      </c>
      <c r="F45" s="10" t="s">
        <v>770</v>
      </c>
      <c r="G45" s="10" t="s">
        <v>771</v>
      </c>
      <c r="I45" s="13">
        <f t="shared" si="0"/>
        <v>-8.8634629709893886E-4</v>
      </c>
    </row>
    <row r="46" spans="1:9" ht="22" x14ac:dyDescent="0.3">
      <c r="A46" s="8"/>
      <c r="B46" s="9" t="s">
        <v>132</v>
      </c>
      <c r="C46" s="10">
        <v>620.79999999999995</v>
      </c>
      <c r="D46" s="10">
        <v>13076060</v>
      </c>
      <c r="E46" s="10" t="s">
        <v>772</v>
      </c>
      <c r="F46" s="10" t="s">
        <v>773</v>
      </c>
      <c r="G46" s="10" t="s">
        <v>774</v>
      </c>
      <c r="I46" s="13">
        <f t="shared" si="0"/>
        <v>8.541529865023989E-3</v>
      </c>
    </row>
    <row r="47" spans="1:9" ht="22" x14ac:dyDescent="0.3">
      <c r="A47" s="8"/>
      <c r="B47" s="9" t="s">
        <v>136</v>
      </c>
      <c r="C47" s="10">
        <v>615.52</v>
      </c>
      <c r="D47" s="10">
        <v>15527880</v>
      </c>
      <c r="E47" s="10" t="s">
        <v>775</v>
      </c>
      <c r="F47" s="10" t="s">
        <v>776</v>
      </c>
      <c r="G47" s="10" t="s">
        <v>777</v>
      </c>
      <c r="I47" s="13">
        <f t="shared" si="0"/>
        <v>-2.4981044111279438E-2</v>
      </c>
    </row>
    <row r="48" spans="1:9" ht="22" x14ac:dyDescent="0.3">
      <c r="A48" s="8"/>
      <c r="B48" s="9" t="s">
        <v>140</v>
      </c>
      <c r="C48" s="10">
        <v>631.09</v>
      </c>
      <c r="D48" s="10">
        <v>18030400</v>
      </c>
      <c r="E48" s="10" t="s">
        <v>778</v>
      </c>
      <c r="F48" s="10" t="s">
        <v>778</v>
      </c>
      <c r="G48" s="10" t="s">
        <v>779</v>
      </c>
      <c r="I48" s="13">
        <f t="shared" si="0"/>
        <v>-1.7093090510901021E-2</v>
      </c>
    </row>
    <row r="49" spans="1:9" ht="22" x14ac:dyDescent="0.3">
      <c r="A49" s="8"/>
      <c r="B49" s="11">
        <v>46357</v>
      </c>
      <c r="C49" s="10">
        <v>641.97</v>
      </c>
      <c r="D49" s="10">
        <v>14797200</v>
      </c>
      <c r="E49" s="10" t="s">
        <v>780</v>
      </c>
      <c r="F49" s="10" t="s">
        <v>781</v>
      </c>
      <c r="G49" s="10" t="s">
        <v>782</v>
      </c>
      <c r="I49" s="13">
        <f t="shared" si="0"/>
        <v>-1.712743504331371E-2</v>
      </c>
    </row>
    <row r="50" spans="1:9" ht="22" x14ac:dyDescent="0.3">
      <c r="A50" s="8"/>
      <c r="B50" s="11">
        <v>46266</v>
      </c>
      <c r="C50" s="10">
        <v>653.05999999999995</v>
      </c>
      <c r="D50" s="10">
        <v>11634940</v>
      </c>
      <c r="E50" s="10" t="s">
        <v>783</v>
      </c>
      <c r="F50" s="10" t="s">
        <v>784</v>
      </c>
      <c r="G50" s="10" t="s">
        <v>785</v>
      </c>
      <c r="I50" s="13">
        <f t="shared" si="0"/>
        <v>1.0776629942922611E-2</v>
      </c>
    </row>
    <row r="51" spans="1:9" ht="22" x14ac:dyDescent="0.3">
      <c r="A51" s="8"/>
      <c r="B51" s="11">
        <v>46235</v>
      </c>
      <c r="C51" s="10">
        <v>646.05999999999995</v>
      </c>
      <c r="D51" s="10">
        <v>11921710</v>
      </c>
      <c r="E51" s="10" t="s">
        <v>786</v>
      </c>
      <c r="F51" s="10" t="s">
        <v>787</v>
      </c>
      <c r="G51" s="10" t="s">
        <v>788</v>
      </c>
      <c r="I51" s="13">
        <f t="shared" si="0"/>
        <v>-4.0625659273567649E-3</v>
      </c>
    </row>
    <row r="52" spans="1:9" ht="22" x14ac:dyDescent="0.3">
      <c r="A52" s="8"/>
      <c r="B52" s="11">
        <v>46204</v>
      </c>
      <c r="C52" s="10">
        <v>648.69000000000005</v>
      </c>
      <c r="D52" s="10">
        <v>12846270</v>
      </c>
      <c r="E52" s="10" t="s">
        <v>789</v>
      </c>
      <c r="F52" s="10" t="s">
        <v>790</v>
      </c>
      <c r="G52" s="10" t="s">
        <v>791</v>
      </c>
      <c r="I52" s="13">
        <f t="shared" si="0"/>
        <v>-1.8223843351596436E-2</v>
      </c>
    </row>
    <row r="53" spans="1:9" ht="22" x14ac:dyDescent="0.3">
      <c r="A53" s="8"/>
      <c r="B53" s="11">
        <v>46174</v>
      </c>
      <c r="C53" s="10">
        <v>660.62</v>
      </c>
      <c r="D53" s="10">
        <v>11074420</v>
      </c>
      <c r="E53" s="10" t="s">
        <v>792</v>
      </c>
      <c r="F53" s="10" t="s">
        <v>793</v>
      </c>
      <c r="G53" s="10" t="s">
        <v>794</v>
      </c>
      <c r="I53" s="13">
        <f t="shared" si="0"/>
        <v>2.7739689307688664E-3</v>
      </c>
    </row>
    <row r="54" spans="1:9" ht="22" x14ac:dyDescent="0.3">
      <c r="A54" s="8"/>
      <c r="B54" s="11">
        <v>46143</v>
      </c>
      <c r="C54" s="10">
        <v>658.79</v>
      </c>
      <c r="D54" s="10">
        <v>12213750</v>
      </c>
      <c r="E54" s="10" t="s">
        <v>795</v>
      </c>
      <c r="F54" s="10" t="s">
        <v>796</v>
      </c>
      <c r="G54" s="10" t="s">
        <v>797</v>
      </c>
      <c r="I54" s="13">
        <f t="shared" si="0"/>
        <v>1.2801885805584945E-2</v>
      </c>
    </row>
    <row r="55" spans="1:9" ht="22" x14ac:dyDescent="0.3">
      <c r="A55" s="8"/>
      <c r="B55" s="11">
        <v>46054</v>
      </c>
      <c r="C55" s="10">
        <v>650.41</v>
      </c>
      <c r="D55" s="10">
        <v>13726520</v>
      </c>
      <c r="E55" s="10" t="s">
        <v>798</v>
      </c>
      <c r="F55" s="10" t="s">
        <v>799</v>
      </c>
      <c r="G55" s="10" t="s">
        <v>800</v>
      </c>
      <c r="I55" s="13">
        <f t="shared" si="0"/>
        <v>-1.4773256091003439E-2</v>
      </c>
    </row>
    <row r="56" spans="1:9" ht="22" x14ac:dyDescent="0.3">
      <c r="A56" s="8"/>
      <c r="B56" s="9" t="s">
        <v>163</v>
      </c>
      <c r="C56" s="10">
        <v>660.09</v>
      </c>
      <c r="D56" s="10">
        <v>7940359</v>
      </c>
      <c r="E56" s="10" t="s">
        <v>801</v>
      </c>
      <c r="F56" s="10" t="s">
        <v>802</v>
      </c>
      <c r="G56" s="10" t="s">
        <v>803</v>
      </c>
      <c r="I56" s="13">
        <f t="shared" si="0"/>
        <v>-8.8384032868802365E-3</v>
      </c>
    </row>
    <row r="57" spans="1:9" ht="22" x14ac:dyDescent="0.3">
      <c r="A57" s="8"/>
      <c r="B57" s="9" t="s">
        <v>168</v>
      </c>
      <c r="C57" s="10">
        <v>665.95</v>
      </c>
      <c r="D57" s="10">
        <v>9187483</v>
      </c>
      <c r="E57" s="10" t="s">
        <v>804</v>
      </c>
      <c r="F57" s="10" t="s">
        <v>805</v>
      </c>
      <c r="G57" s="10" t="s">
        <v>806</v>
      </c>
      <c r="I57" s="13">
        <f t="shared" si="0"/>
        <v>1.0961578533575711E-2</v>
      </c>
    </row>
    <row r="58" spans="1:9" ht="22" x14ac:dyDescent="0.3">
      <c r="A58" s="8"/>
      <c r="B58" s="9" t="s">
        <v>172</v>
      </c>
      <c r="C58" s="10">
        <v>658.69</v>
      </c>
      <c r="D58" s="10">
        <v>8506477</v>
      </c>
      <c r="E58" s="10" t="s">
        <v>807</v>
      </c>
      <c r="F58" s="10" t="s">
        <v>808</v>
      </c>
      <c r="G58" s="10" t="s">
        <v>809</v>
      </c>
      <c r="I58" s="13">
        <f t="shared" si="0"/>
        <v>-6.9592861699208086E-3</v>
      </c>
    </row>
    <row r="59" spans="1:9" ht="22" x14ac:dyDescent="0.3">
      <c r="A59" s="8"/>
      <c r="B59" s="9" t="s">
        <v>175</v>
      </c>
      <c r="C59" s="10">
        <v>663.29</v>
      </c>
      <c r="D59" s="10">
        <v>7133813</v>
      </c>
      <c r="E59" s="10" t="s">
        <v>810</v>
      </c>
      <c r="F59" s="10" t="s">
        <v>811</v>
      </c>
      <c r="G59" s="10" t="s">
        <v>812</v>
      </c>
      <c r="I59" s="13">
        <f t="shared" si="0"/>
        <v>-6.4019935527186433E-3</v>
      </c>
    </row>
    <row r="60" spans="1:9" ht="22" x14ac:dyDescent="0.3">
      <c r="A60" s="8"/>
      <c r="B60" s="9" t="s">
        <v>179</v>
      </c>
      <c r="C60" s="10">
        <v>667.55</v>
      </c>
      <c r="D60" s="10">
        <v>5627512</v>
      </c>
      <c r="E60" s="10" t="s">
        <v>813</v>
      </c>
      <c r="F60" s="10" t="s">
        <v>814</v>
      </c>
      <c r="G60" s="10" t="s">
        <v>815</v>
      </c>
      <c r="I60" s="13">
        <f t="shared" si="0"/>
        <v>3.9174828147299223E-3</v>
      </c>
    </row>
    <row r="61" spans="1:9" ht="22" x14ac:dyDescent="0.3">
      <c r="A61" s="8"/>
      <c r="B61" s="9" t="s">
        <v>181</v>
      </c>
      <c r="C61" s="10">
        <v>664.94</v>
      </c>
      <c r="D61" s="10">
        <v>8486847</v>
      </c>
      <c r="E61" s="10" t="s">
        <v>816</v>
      </c>
      <c r="F61" s="10" t="s">
        <v>817</v>
      </c>
      <c r="G61" s="10" t="s">
        <v>818</v>
      </c>
      <c r="I61" s="13">
        <f t="shared" si="0"/>
        <v>5.1868274663631198E-3</v>
      </c>
    </row>
    <row r="62" spans="1:9" ht="22" x14ac:dyDescent="0.3">
      <c r="A62" s="8"/>
      <c r="B62" s="9" t="s">
        <v>184</v>
      </c>
      <c r="C62" s="10">
        <v>661.5</v>
      </c>
      <c r="D62" s="10">
        <v>15659390</v>
      </c>
      <c r="E62" s="10" t="s">
        <v>819</v>
      </c>
      <c r="F62" s="10" t="s">
        <v>820</v>
      </c>
      <c r="G62" s="10" t="s">
        <v>821</v>
      </c>
      <c r="I62" s="13">
        <f t="shared" si="0"/>
        <v>4.1355236290012698E-3</v>
      </c>
    </row>
    <row r="63" spans="1:9" ht="22" x14ac:dyDescent="0.3">
      <c r="A63" s="8"/>
      <c r="B63" s="9" t="s">
        <v>187</v>
      </c>
      <c r="C63" s="10">
        <v>658.77</v>
      </c>
      <c r="D63" s="10">
        <v>49977050</v>
      </c>
      <c r="E63" s="10" t="s">
        <v>822</v>
      </c>
      <c r="F63" s="10" t="s">
        <v>823</v>
      </c>
      <c r="G63" s="10" t="s">
        <v>824</v>
      </c>
      <c r="I63" s="13">
        <f t="shared" si="0"/>
        <v>-8.5851708515072289E-3</v>
      </c>
    </row>
    <row r="64" spans="1:9" ht="22" x14ac:dyDescent="0.3">
      <c r="A64" s="8"/>
      <c r="B64" s="9" t="s">
        <v>190</v>
      </c>
      <c r="C64" s="10">
        <v>664.45</v>
      </c>
      <c r="D64" s="10">
        <v>20260300</v>
      </c>
      <c r="E64" s="10" t="s">
        <v>825</v>
      </c>
      <c r="F64" s="10" t="s">
        <v>826</v>
      </c>
      <c r="G64" s="10" t="s">
        <v>827</v>
      </c>
      <c r="I64" s="13">
        <f t="shared" si="0"/>
        <v>2.2756794666862312E-2</v>
      </c>
    </row>
    <row r="65" spans="1:9" ht="22" x14ac:dyDescent="0.3">
      <c r="A65" s="8"/>
      <c r="B65" s="9" t="s">
        <v>194</v>
      </c>
      <c r="C65" s="10">
        <v>649.5</v>
      </c>
      <c r="D65" s="10">
        <v>15598550</v>
      </c>
      <c r="E65" s="10" t="s">
        <v>828</v>
      </c>
      <c r="F65" s="10" t="s">
        <v>829</v>
      </c>
      <c r="G65" s="10" t="s">
        <v>830</v>
      </c>
      <c r="I65" s="13">
        <f t="shared" si="0"/>
        <v>-1.1709466817363179E-2</v>
      </c>
    </row>
    <row r="66" spans="1:9" ht="22" x14ac:dyDescent="0.3">
      <c r="A66" s="8"/>
      <c r="B66" s="9" t="s">
        <v>197</v>
      </c>
      <c r="C66" s="10">
        <v>657.15</v>
      </c>
      <c r="D66" s="10">
        <v>14309140</v>
      </c>
      <c r="E66" s="10" t="s">
        <v>800</v>
      </c>
      <c r="F66" s="10" t="s">
        <v>831</v>
      </c>
      <c r="G66" s="10" t="s">
        <v>832</v>
      </c>
      <c r="I66" s="13">
        <f t="shared" si="0"/>
        <v>1.4778065458138201E-2</v>
      </c>
    </row>
    <row r="67" spans="1:9" ht="22" x14ac:dyDescent="0.3">
      <c r="A67" s="8"/>
      <c r="B67" s="9" t="s">
        <v>201</v>
      </c>
      <c r="C67" s="10">
        <v>647.51</v>
      </c>
      <c r="D67" s="10">
        <v>15549090</v>
      </c>
      <c r="E67" s="10" t="s">
        <v>833</v>
      </c>
      <c r="F67" s="10" t="s">
        <v>834</v>
      </c>
      <c r="G67" s="10" t="s">
        <v>835</v>
      </c>
      <c r="I67" s="13">
        <f t="shared" si="0"/>
        <v>5.0784322687125183E-3</v>
      </c>
    </row>
    <row r="68" spans="1:9" ht="22" x14ac:dyDescent="0.3">
      <c r="A68" s="8"/>
      <c r="B68" s="11">
        <v>46003</v>
      </c>
      <c r="C68" s="10">
        <v>644.23</v>
      </c>
      <c r="D68" s="10">
        <v>14016920</v>
      </c>
      <c r="E68" s="10" t="s">
        <v>836</v>
      </c>
      <c r="F68" s="10" t="s">
        <v>837</v>
      </c>
      <c r="G68" s="10" t="s">
        <v>838</v>
      </c>
      <c r="I68" s="13">
        <f t="shared" ref="I68:I131" si="1">LN(C68)-LN(C69)</f>
        <v>-1.3077121297054184E-2</v>
      </c>
    </row>
    <row r="69" spans="1:9" ht="22" x14ac:dyDescent="0.3">
      <c r="A69" s="8"/>
      <c r="B69" s="11">
        <v>45973</v>
      </c>
      <c r="C69" s="10">
        <v>652.71</v>
      </c>
      <c r="D69" s="10">
        <v>13056730</v>
      </c>
      <c r="E69" s="10" t="s">
        <v>839</v>
      </c>
      <c r="F69" s="10" t="s">
        <v>840</v>
      </c>
      <c r="G69" s="10" t="s">
        <v>841</v>
      </c>
      <c r="I69" s="13">
        <f t="shared" si="1"/>
        <v>3.9605836058722588E-3</v>
      </c>
    </row>
    <row r="70" spans="1:9" ht="22" x14ac:dyDescent="0.3">
      <c r="A70" s="8"/>
      <c r="B70" s="11">
        <v>45942</v>
      </c>
      <c r="C70" s="10">
        <v>650.13</v>
      </c>
      <c r="D70" s="10">
        <v>16910880</v>
      </c>
      <c r="E70" s="10" t="s">
        <v>842</v>
      </c>
      <c r="F70" s="10" t="s">
        <v>843</v>
      </c>
      <c r="G70" s="10" t="s">
        <v>844</v>
      </c>
      <c r="I70" s="13">
        <f t="shared" si="1"/>
        <v>-1.0450790938220322E-2</v>
      </c>
    </row>
    <row r="71" spans="1:9" ht="22" x14ac:dyDescent="0.3">
      <c r="A71" s="8"/>
      <c r="B71" s="11">
        <v>45912</v>
      </c>
      <c r="C71" s="10">
        <v>656.96</v>
      </c>
      <c r="D71" s="10">
        <v>12997120</v>
      </c>
      <c r="E71" s="10" t="s">
        <v>845</v>
      </c>
      <c r="F71" s="10" t="s">
        <v>846</v>
      </c>
      <c r="G71" s="10" t="s">
        <v>847</v>
      </c>
      <c r="I71" s="13">
        <f t="shared" si="1"/>
        <v>-1.4867017046070075E-2</v>
      </c>
    </row>
    <row r="72" spans="1:9" ht="22" x14ac:dyDescent="0.3">
      <c r="A72" s="8"/>
      <c r="B72" s="11">
        <v>45881</v>
      </c>
      <c r="C72" s="10">
        <v>666.8</v>
      </c>
      <c r="D72" s="10">
        <v>13160980</v>
      </c>
      <c r="E72" s="10" t="s">
        <v>848</v>
      </c>
      <c r="F72" s="10" t="s">
        <v>849</v>
      </c>
      <c r="G72" s="10" t="s">
        <v>850</v>
      </c>
      <c r="I72" s="13">
        <f t="shared" si="1"/>
        <v>-9.8790554389980301E-3</v>
      </c>
    </row>
    <row r="73" spans="1:9" ht="22" x14ac:dyDescent="0.3">
      <c r="A73" s="8"/>
      <c r="B73" s="11">
        <v>45789</v>
      </c>
      <c r="C73" s="10">
        <v>673.42</v>
      </c>
      <c r="D73" s="10">
        <v>21207860</v>
      </c>
      <c r="E73" s="10" t="s">
        <v>851</v>
      </c>
      <c r="F73" s="10" t="s">
        <v>852</v>
      </c>
      <c r="G73" s="10" t="s">
        <v>853</v>
      </c>
      <c r="I73" s="13">
        <f t="shared" si="1"/>
        <v>1.7813872315050716E-2</v>
      </c>
    </row>
    <row r="74" spans="1:9" ht="22" x14ac:dyDescent="0.3">
      <c r="A74" s="8"/>
      <c r="B74" s="11">
        <v>45759</v>
      </c>
      <c r="C74" s="10">
        <v>661.53</v>
      </c>
      <c r="D74" s="10">
        <v>29874620</v>
      </c>
      <c r="E74" s="10" t="s">
        <v>717</v>
      </c>
      <c r="F74" s="10" t="s">
        <v>854</v>
      </c>
      <c r="G74" s="10" t="s">
        <v>816</v>
      </c>
      <c r="I74" s="13">
        <f t="shared" si="1"/>
        <v>3.3712353040787235E-2</v>
      </c>
    </row>
    <row r="75" spans="1:9" ht="22" x14ac:dyDescent="0.3">
      <c r="A75" s="8"/>
      <c r="B75" s="11">
        <v>45728</v>
      </c>
      <c r="C75" s="10">
        <v>639.6</v>
      </c>
      <c r="D75" s="10">
        <v>11134310</v>
      </c>
      <c r="E75" s="10" t="s">
        <v>855</v>
      </c>
      <c r="F75" s="10" t="s">
        <v>856</v>
      </c>
      <c r="G75" s="10" t="s">
        <v>857</v>
      </c>
      <c r="I75" s="13">
        <f t="shared" si="1"/>
        <v>-1.1657861103421041E-2</v>
      </c>
    </row>
    <row r="76" spans="1:9" ht="22" x14ac:dyDescent="0.3">
      <c r="A76" s="8"/>
      <c r="B76" s="11">
        <v>45700</v>
      </c>
      <c r="C76" s="10">
        <v>647.1</v>
      </c>
      <c r="D76" s="10">
        <v>11640870</v>
      </c>
      <c r="E76" s="10" t="s">
        <v>858</v>
      </c>
      <c r="F76" s="10" t="s">
        <v>859</v>
      </c>
      <c r="G76" s="10" t="s">
        <v>860</v>
      </c>
      <c r="I76" s="13">
        <f t="shared" si="1"/>
        <v>9.6742138232208674E-3</v>
      </c>
    </row>
    <row r="77" spans="1:9" ht="22" x14ac:dyDescent="0.3">
      <c r="A77" s="8"/>
      <c r="B77" s="11">
        <v>45669</v>
      </c>
      <c r="C77" s="10">
        <v>640.87</v>
      </c>
      <c r="D77" s="10">
        <v>13029920</v>
      </c>
      <c r="E77" s="10" t="s">
        <v>861</v>
      </c>
      <c r="F77" s="10" t="s">
        <v>862</v>
      </c>
      <c r="G77" s="10" t="s">
        <v>863</v>
      </c>
      <c r="I77" s="13">
        <f t="shared" si="1"/>
        <v>-1.0986904641423934E-2</v>
      </c>
    </row>
    <row r="78" spans="1:9" ht="22" x14ac:dyDescent="0.3">
      <c r="A78" s="8"/>
      <c r="B78" s="9" t="s">
        <v>225</v>
      </c>
      <c r="C78" s="10">
        <v>647.95000000000005</v>
      </c>
      <c r="D78" s="10">
        <v>11033200</v>
      </c>
      <c r="E78" s="10" t="s">
        <v>864</v>
      </c>
      <c r="F78" s="10" t="s">
        <v>865</v>
      </c>
      <c r="G78" s="10" t="s">
        <v>866</v>
      </c>
      <c r="I78" s="13">
        <f t="shared" si="1"/>
        <v>2.2379909677471943E-2</v>
      </c>
    </row>
    <row r="79" spans="1:9" ht="22" x14ac:dyDescent="0.3">
      <c r="A79" s="8"/>
      <c r="B79" s="9" t="s">
        <v>228</v>
      </c>
      <c r="C79" s="10">
        <v>633.61</v>
      </c>
      <c r="D79" s="10">
        <v>15209480</v>
      </c>
      <c r="E79" s="10" t="s">
        <v>867</v>
      </c>
      <c r="F79" s="10" t="s">
        <v>868</v>
      </c>
      <c r="G79" s="10" t="s">
        <v>869</v>
      </c>
      <c r="I79" s="13">
        <f t="shared" si="1"/>
        <v>-4.1107922721108636E-3</v>
      </c>
    </row>
    <row r="80" spans="1:9" ht="22" x14ac:dyDescent="0.3">
      <c r="A80" s="8"/>
      <c r="B80" s="9" t="s">
        <v>231</v>
      </c>
      <c r="C80" s="10">
        <v>636.22</v>
      </c>
      <c r="D80" s="10">
        <v>25212980</v>
      </c>
      <c r="E80" s="10" t="s">
        <v>870</v>
      </c>
      <c r="F80" s="10" t="s">
        <v>871</v>
      </c>
      <c r="G80" s="10" t="s">
        <v>872</v>
      </c>
      <c r="I80" s="13">
        <f t="shared" si="1"/>
        <v>3.7097916797666386E-2</v>
      </c>
    </row>
    <row r="81" spans="1:9" ht="22" x14ac:dyDescent="0.3">
      <c r="A81" s="8"/>
      <c r="B81" s="9" t="s">
        <v>235</v>
      </c>
      <c r="C81" s="10">
        <v>613.04999999999995</v>
      </c>
      <c r="D81" s="10">
        <v>23554930</v>
      </c>
      <c r="E81" s="10" t="s">
        <v>873</v>
      </c>
      <c r="F81" s="10" t="s">
        <v>874</v>
      </c>
      <c r="G81" s="10" t="s">
        <v>875</v>
      </c>
      <c r="I81" s="13">
        <f t="shared" si="1"/>
        <v>3.1146392438092363E-2</v>
      </c>
    </row>
    <row r="82" spans="1:9" ht="22" x14ac:dyDescent="0.3">
      <c r="A82" s="8"/>
      <c r="B82" s="9" t="s">
        <v>238</v>
      </c>
      <c r="C82" s="10">
        <v>594.25</v>
      </c>
      <c r="D82" s="10">
        <v>21052620</v>
      </c>
      <c r="E82" s="10" t="s">
        <v>876</v>
      </c>
      <c r="F82" s="10" t="s">
        <v>877</v>
      </c>
      <c r="G82" s="10" t="s">
        <v>878</v>
      </c>
      <c r="I82" s="13">
        <f t="shared" si="1"/>
        <v>8.6192860809539695E-3</v>
      </c>
    </row>
    <row r="83" spans="1:9" ht="22" x14ac:dyDescent="0.3">
      <c r="A83" s="8"/>
      <c r="B83" s="9" t="s">
        <v>242</v>
      </c>
      <c r="C83" s="10">
        <v>589.15</v>
      </c>
      <c r="D83" s="10">
        <v>20603020</v>
      </c>
      <c r="E83" s="10" t="s">
        <v>879</v>
      </c>
      <c r="F83" s="10" t="s">
        <v>880</v>
      </c>
      <c r="G83" s="10" t="s">
        <v>881</v>
      </c>
      <c r="I83" s="13">
        <f t="shared" si="1"/>
        <v>-1.9839425907619557E-3</v>
      </c>
    </row>
    <row r="84" spans="1:9" ht="22" x14ac:dyDescent="0.3">
      <c r="A84" s="8"/>
      <c r="B84" s="9" t="s">
        <v>245</v>
      </c>
      <c r="C84" s="10">
        <v>590.32000000000005</v>
      </c>
      <c r="D84" s="10">
        <v>24744700</v>
      </c>
      <c r="E84" s="10" t="s">
        <v>882</v>
      </c>
      <c r="F84" s="10" t="s">
        <v>883</v>
      </c>
      <c r="G84" s="10" t="s">
        <v>884</v>
      </c>
      <c r="I84" s="13">
        <f t="shared" si="1"/>
        <v>-1.2407462138730452E-2</v>
      </c>
    </row>
    <row r="85" spans="1:9" ht="22" x14ac:dyDescent="0.3">
      <c r="A85" s="8"/>
      <c r="B85" s="9" t="s">
        <v>249</v>
      </c>
      <c r="C85" s="10">
        <v>597.69000000000005</v>
      </c>
      <c r="D85" s="10">
        <v>25500650</v>
      </c>
      <c r="E85" s="10" t="s">
        <v>885</v>
      </c>
      <c r="F85" s="10" t="s">
        <v>886</v>
      </c>
      <c r="G85" s="10" t="s">
        <v>887</v>
      </c>
      <c r="I85" s="13">
        <f t="shared" si="1"/>
        <v>-7.2018315776940511E-3</v>
      </c>
    </row>
    <row r="86" spans="1:9" ht="22" x14ac:dyDescent="0.3">
      <c r="A86" s="8"/>
      <c r="B86" s="9" t="s">
        <v>251</v>
      </c>
      <c r="C86" s="10">
        <v>602.01</v>
      </c>
      <c r="D86" s="10">
        <v>16501330</v>
      </c>
      <c r="E86" s="10" t="s">
        <v>888</v>
      </c>
      <c r="F86" s="10" t="s">
        <v>889</v>
      </c>
      <c r="G86" s="10" t="s">
        <v>890</v>
      </c>
      <c r="I86" s="13">
        <f t="shared" si="1"/>
        <v>-1.2299262737631267E-2</v>
      </c>
    </row>
    <row r="87" spans="1:9" ht="22" x14ac:dyDescent="0.3">
      <c r="A87" s="8"/>
      <c r="B87" s="9" t="s">
        <v>253</v>
      </c>
      <c r="C87" s="10">
        <v>609.46</v>
      </c>
      <c r="D87" s="10">
        <v>20724150</v>
      </c>
      <c r="E87" s="10" t="s">
        <v>891</v>
      </c>
      <c r="F87" s="10" t="s">
        <v>892</v>
      </c>
      <c r="G87" s="10" t="s">
        <v>893</v>
      </c>
      <c r="I87" s="13">
        <f t="shared" si="1"/>
        <v>-7.0529383331230378E-4</v>
      </c>
    </row>
    <row r="88" spans="1:9" ht="22" x14ac:dyDescent="0.3">
      <c r="A88" s="8"/>
      <c r="B88" s="9" t="s">
        <v>256</v>
      </c>
      <c r="C88" s="10">
        <v>609.89</v>
      </c>
      <c r="D88" s="10">
        <v>20973850</v>
      </c>
      <c r="E88" s="10" t="s">
        <v>894</v>
      </c>
      <c r="F88" s="10" t="s">
        <v>895</v>
      </c>
      <c r="G88" s="10" t="s">
        <v>896</v>
      </c>
      <c r="I88" s="13">
        <f t="shared" si="1"/>
        <v>1.4439251011468812E-3</v>
      </c>
    </row>
    <row r="89" spans="1:9" ht="22" x14ac:dyDescent="0.3">
      <c r="A89" s="8"/>
      <c r="B89" s="11">
        <v>46002</v>
      </c>
      <c r="C89" s="10">
        <v>609.01</v>
      </c>
      <c r="D89" s="10">
        <v>24493270</v>
      </c>
      <c r="E89" s="10" t="s">
        <v>897</v>
      </c>
      <c r="F89" s="10" t="s">
        <v>898</v>
      </c>
      <c r="G89" s="10" t="s">
        <v>899</v>
      </c>
      <c r="I89" s="13">
        <f t="shared" si="1"/>
        <v>-2.9239436263997831E-2</v>
      </c>
    </row>
    <row r="90" spans="1:9" ht="22" x14ac:dyDescent="0.3">
      <c r="A90" s="8"/>
      <c r="B90" s="11">
        <v>45972</v>
      </c>
      <c r="C90" s="10">
        <v>627.08000000000004</v>
      </c>
      <c r="D90" s="10">
        <v>13302190</v>
      </c>
      <c r="E90" s="10" t="s">
        <v>900</v>
      </c>
      <c r="F90" s="10" t="s">
        <v>901</v>
      </c>
      <c r="G90" s="10" t="s">
        <v>902</v>
      </c>
      <c r="I90" s="13">
        <f t="shared" si="1"/>
        <v>-7.435450988994674E-3</v>
      </c>
    </row>
    <row r="91" spans="1:9" ht="22" x14ac:dyDescent="0.3">
      <c r="A91" s="8"/>
      <c r="B91" s="11">
        <v>45941</v>
      </c>
      <c r="C91" s="10">
        <v>631.76</v>
      </c>
      <c r="D91" s="10">
        <v>19245000</v>
      </c>
      <c r="E91" s="10" t="s">
        <v>903</v>
      </c>
      <c r="F91" s="10" t="s">
        <v>904</v>
      </c>
      <c r="G91" s="10" t="s">
        <v>905</v>
      </c>
      <c r="I91" s="13">
        <f t="shared" si="1"/>
        <v>1.6035829114971811E-2</v>
      </c>
    </row>
    <row r="92" spans="1:9" ht="22" x14ac:dyDescent="0.3">
      <c r="A92" s="8"/>
      <c r="B92" s="11">
        <v>45849</v>
      </c>
      <c r="C92" s="10">
        <v>621.71</v>
      </c>
      <c r="D92" s="10">
        <v>29946830</v>
      </c>
      <c r="E92" s="10" t="s">
        <v>906</v>
      </c>
      <c r="F92" s="10" t="s">
        <v>907</v>
      </c>
      <c r="G92" s="10" t="s">
        <v>908</v>
      </c>
      <c r="I92" s="13">
        <f t="shared" si="1"/>
        <v>4.4654086209430233E-3</v>
      </c>
    </row>
    <row r="93" spans="1:9" ht="22" x14ac:dyDescent="0.3">
      <c r="A93" s="8"/>
      <c r="B93" s="11">
        <v>45819</v>
      </c>
      <c r="C93" s="10">
        <v>618.94000000000005</v>
      </c>
      <c r="D93" s="10">
        <v>23628750</v>
      </c>
      <c r="E93" s="10" t="s">
        <v>909</v>
      </c>
      <c r="F93" s="10" t="s">
        <v>700</v>
      </c>
      <c r="G93" s="10" t="s">
        <v>910</v>
      </c>
      <c r="I93" s="13">
        <f t="shared" si="1"/>
        <v>-2.7111606444083058E-2</v>
      </c>
    </row>
    <row r="94" spans="1:9" ht="22" x14ac:dyDescent="0.3">
      <c r="A94" s="8"/>
      <c r="B94" s="11">
        <v>45788</v>
      </c>
      <c r="C94" s="10">
        <v>635.95000000000005</v>
      </c>
      <c r="D94" s="10">
        <v>20219860</v>
      </c>
      <c r="E94" s="10" t="s">
        <v>911</v>
      </c>
      <c r="F94" s="10" t="s">
        <v>912</v>
      </c>
      <c r="G94" s="10" t="s">
        <v>913</v>
      </c>
      <c r="I94" s="13">
        <f t="shared" si="1"/>
        <v>1.3663166631268986E-2</v>
      </c>
    </row>
    <row r="95" spans="1:9" ht="22" x14ac:dyDescent="0.3">
      <c r="A95" s="8"/>
      <c r="B95" s="11">
        <v>45758</v>
      </c>
      <c r="C95" s="10">
        <v>627.32000000000005</v>
      </c>
      <c r="D95" s="10">
        <v>27356550</v>
      </c>
      <c r="E95" s="10" t="s">
        <v>914</v>
      </c>
      <c r="F95" s="10" t="s">
        <v>915</v>
      </c>
      <c r="G95" s="10" t="s">
        <v>916</v>
      </c>
      <c r="I95" s="13">
        <f t="shared" si="1"/>
        <v>-1.6426857286919727E-2</v>
      </c>
    </row>
    <row r="96" spans="1:9" ht="22" x14ac:dyDescent="0.3">
      <c r="A96" s="8"/>
      <c r="B96" s="11">
        <v>45727</v>
      </c>
      <c r="C96" s="10">
        <v>637.71</v>
      </c>
      <c r="D96" s="10">
        <v>33003600</v>
      </c>
      <c r="E96" s="10" t="s">
        <v>917</v>
      </c>
      <c r="F96" s="10" t="s">
        <v>918</v>
      </c>
      <c r="G96" s="10" t="s">
        <v>919</v>
      </c>
      <c r="I96" s="13">
        <f t="shared" si="1"/>
        <v>-1.6547039441749511E-2</v>
      </c>
    </row>
    <row r="97" spans="1:9" ht="22" x14ac:dyDescent="0.3">
      <c r="A97" s="8"/>
      <c r="B97" s="9" t="s">
        <v>283</v>
      </c>
      <c r="C97" s="10">
        <v>648.35</v>
      </c>
      <c r="D97" s="10">
        <v>56953170</v>
      </c>
      <c r="E97" s="10" t="s">
        <v>920</v>
      </c>
      <c r="F97" s="10" t="s">
        <v>921</v>
      </c>
      <c r="G97" s="10" t="s">
        <v>922</v>
      </c>
      <c r="I97" s="13">
        <f t="shared" si="1"/>
        <v>-2.7564453358019492E-2</v>
      </c>
    </row>
    <row r="98" spans="1:9" ht="22" x14ac:dyDescent="0.3">
      <c r="A98" s="8"/>
      <c r="B98" s="9" t="s">
        <v>286</v>
      </c>
      <c r="C98" s="10">
        <v>666.47</v>
      </c>
      <c r="D98" s="10">
        <v>88440090</v>
      </c>
      <c r="E98" s="10" t="s">
        <v>923</v>
      </c>
      <c r="F98" s="10" t="s">
        <v>924</v>
      </c>
      <c r="G98" s="10" t="s">
        <v>925</v>
      </c>
      <c r="I98" s="13">
        <f t="shared" si="1"/>
        <v>-0.12030227049572328</v>
      </c>
    </row>
    <row r="99" spans="1:9" ht="22" x14ac:dyDescent="0.3">
      <c r="A99" s="8"/>
      <c r="B99" s="9" t="s">
        <v>290</v>
      </c>
      <c r="C99" s="10">
        <v>751.67</v>
      </c>
      <c r="D99" s="10">
        <v>26818590</v>
      </c>
      <c r="E99" s="10" t="s">
        <v>926</v>
      </c>
      <c r="F99" s="10" t="s">
        <v>927</v>
      </c>
      <c r="G99" s="10" t="s">
        <v>928</v>
      </c>
      <c r="I99" s="13">
        <f t="shared" si="1"/>
        <v>3.0603216237601316E-4</v>
      </c>
    </row>
    <row r="100" spans="1:9" ht="22" x14ac:dyDescent="0.3">
      <c r="A100" s="8"/>
      <c r="B100" s="9" t="s">
        <v>294</v>
      </c>
      <c r="C100" s="10">
        <v>751.44</v>
      </c>
      <c r="D100" s="10">
        <v>12193820</v>
      </c>
      <c r="E100" s="10" t="s">
        <v>929</v>
      </c>
      <c r="F100" s="10" t="s">
        <v>930</v>
      </c>
      <c r="G100" s="10" t="s">
        <v>931</v>
      </c>
      <c r="I100" s="13">
        <f t="shared" si="1"/>
        <v>8.2542307616773058E-4</v>
      </c>
    </row>
    <row r="101" spans="1:9" ht="22" x14ac:dyDescent="0.3">
      <c r="A101" s="8"/>
      <c r="B101" s="9" t="s">
        <v>296</v>
      </c>
      <c r="C101" s="10">
        <v>750.82</v>
      </c>
      <c r="D101" s="10">
        <v>11321080</v>
      </c>
      <c r="E101" s="10" t="s">
        <v>932</v>
      </c>
      <c r="F101" s="10" t="s">
        <v>933</v>
      </c>
      <c r="G101" s="10" t="s">
        <v>934</v>
      </c>
      <c r="I101" s="13">
        <f t="shared" si="1"/>
        <v>1.6734432069693383E-2</v>
      </c>
    </row>
    <row r="102" spans="1:9" ht="22" x14ac:dyDescent="0.3">
      <c r="A102" s="8"/>
      <c r="B102" s="9" t="s">
        <v>300</v>
      </c>
      <c r="C102" s="10">
        <v>738.36</v>
      </c>
      <c r="D102" s="10">
        <v>9151267</v>
      </c>
      <c r="E102" s="10" t="s">
        <v>935</v>
      </c>
      <c r="F102" s="10" t="s">
        <v>936</v>
      </c>
      <c r="G102" s="10" t="s">
        <v>937</v>
      </c>
      <c r="I102" s="13">
        <f t="shared" si="1"/>
        <v>5.9224819258840711E-3</v>
      </c>
    </row>
    <row r="103" spans="1:9" ht="22" x14ac:dyDescent="0.3">
      <c r="A103" s="8"/>
      <c r="B103" s="9" t="s">
        <v>303</v>
      </c>
      <c r="C103" s="10">
        <v>734</v>
      </c>
      <c r="D103" s="10">
        <v>9855974</v>
      </c>
      <c r="E103" s="10" t="s">
        <v>938</v>
      </c>
      <c r="F103" s="10" t="s">
        <v>939</v>
      </c>
      <c r="G103" s="10" t="s">
        <v>940</v>
      </c>
      <c r="I103" s="13">
        <f t="shared" si="1"/>
        <v>8.0413794616696066E-4</v>
      </c>
    </row>
    <row r="104" spans="1:9" ht="22" x14ac:dyDescent="0.3">
      <c r="A104" s="8"/>
      <c r="B104" s="9" t="s">
        <v>307</v>
      </c>
      <c r="C104" s="10">
        <v>733.41</v>
      </c>
      <c r="D104" s="10">
        <v>8734491</v>
      </c>
      <c r="E104" s="10" t="s">
        <v>941</v>
      </c>
      <c r="F104" s="10" t="s">
        <v>942</v>
      </c>
      <c r="G104" s="10" t="s">
        <v>943</v>
      </c>
      <c r="I104" s="13">
        <f t="shared" si="1"/>
        <v>1.9090735596805075E-4</v>
      </c>
    </row>
    <row r="105" spans="1:9" ht="22" x14ac:dyDescent="0.3">
      <c r="A105" s="8"/>
      <c r="B105" s="9" t="s">
        <v>312</v>
      </c>
      <c r="C105" s="10">
        <v>733.27</v>
      </c>
      <c r="D105" s="10">
        <v>7647269</v>
      </c>
      <c r="E105" s="10" t="s">
        <v>944</v>
      </c>
      <c r="F105" s="10" t="s">
        <v>945</v>
      </c>
      <c r="G105" s="10" t="s">
        <v>946</v>
      </c>
      <c r="I105" s="13">
        <f t="shared" si="1"/>
        <v>1.501255877546015E-3</v>
      </c>
    </row>
    <row r="106" spans="1:9" ht="22" x14ac:dyDescent="0.3">
      <c r="A106" s="8"/>
      <c r="B106" s="9" t="s">
        <v>315</v>
      </c>
      <c r="C106" s="10">
        <v>732.17</v>
      </c>
      <c r="D106" s="10">
        <v>8900204</v>
      </c>
      <c r="E106" s="10" t="s">
        <v>947</v>
      </c>
      <c r="F106" s="10" t="s">
        <v>948</v>
      </c>
      <c r="G106" s="10" t="s">
        <v>949</v>
      </c>
      <c r="I106" s="13">
        <f t="shared" si="1"/>
        <v>2.1055443374617511E-2</v>
      </c>
    </row>
    <row r="107" spans="1:9" ht="22" x14ac:dyDescent="0.3">
      <c r="A107" s="8"/>
      <c r="B107" s="9" t="s">
        <v>318</v>
      </c>
      <c r="C107" s="10">
        <v>716.91499999999996</v>
      </c>
      <c r="D107" s="10">
        <v>12232440</v>
      </c>
      <c r="E107" s="10" t="s">
        <v>950</v>
      </c>
      <c r="F107" s="10" t="s">
        <v>951</v>
      </c>
      <c r="G107" s="10" t="s">
        <v>952</v>
      </c>
      <c r="I107" s="13">
        <f t="shared" si="1"/>
        <v>6.7810628740634371E-3</v>
      </c>
    </row>
    <row r="108" spans="1:9" ht="22" x14ac:dyDescent="0.3">
      <c r="A108" s="8"/>
      <c r="B108" s="9" t="s">
        <v>322</v>
      </c>
      <c r="C108" s="10">
        <v>712.07</v>
      </c>
      <c r="D108" s="10">
        <v>9017010</v>
      </c>
      <c r="E108" s="10" t="s">
        <v>953</v>
      </c>
      <c r="F108" s="10" t="s">
        <v>954</v>
      </c>
      <c r="G108" s="10" t="s">
        <v>955</v>
      </c>
      <c r="I108" s="13">
        <f t="shared" si="1"/>
        <v>-7.6664104307875292E-3</v>
      </c>
    </row>
    <row r="109" spans="1:9" ht="22" x14ac:dyDescent="0.3">
      <c r="A109" s="8"/>
      <c r="B109" s="9" t="s">
        <v>326</v>
      </c>
      <c r="C109" s="10">
        <v>717.55</v>
      </c>
      <c r="D109" s="10">
        <v>10246770</v>
      </c>
      <c r="E109" s="10" t="s">
        <v>956</v>
      </c>
      <c r="F109" s="10" t="s">
        <v>957</v>
      </c>
      <c r="G109" s="10" t="s">
        <v>958</v>
      </c>
      <c r="I109" s="13">
        <f t="shared" si="1"/>
        <v>1.248088000402614E-2</v>
      </c>
    </row>
    <row r="110" spans="1:9" ht="22" x14ac:dyDescent="0.3">
      <c r="A110" s="8"/>
      <c r="B110" s="9" t="s">
        <v>330</v>
      </c>
      <c r="C110" s="10">
        <v>708.65</v>
      </c>
      <c r="D110" s="10">
        <v>8829757</v>
      </c>
      <c r="E110" s="10" t="s">
        <v>959</v>
      </c>
      <c r="F110" s="10" t="s">
        <v>960</v>
      </c>
      <c r="G110" s="10" t="s">
        <v>961</v>
      </c>
      <c r="I110" s="13">
        <f t="shared" si="1"/>
        <v>-9.8993331316377109E-3</v>
      </c>
    </row>
    <row r="111" spans="1:9" ht="22" x14ac:dyDescent="0.3">
      <c r="A111" s="8"/>
      <c r="B111" s="9" t="s">
        <v>335</v>
      </c>
      <c r="C111" s="10">
        <v>715.7</v>
      </c>
      <c r="D111" s="10">
        <v>9251796</v>
      </c>
      <c r="E111" s="10" t="s">
        <v>962</v>
      </c>
      <c r="F111" s="10" t="s">
        <v>963</v>
      </c>
      <c r="G111" s="10" t="s">
        <v>964</v>
      </c>
      <c r="I111" s="13">
        <f t="shared" si="1"/>
        <v>1.4637840530419055E-2</v>
      </c>
    </row>
    <row r="112" spans="1:9" ht="22" x14ac:dyDescent="0.3">
      <c r="A112" s="8"/>
      <c r="B112" s="11">
        <v>45940</v>
      </c>
      <c r="C112" s="10">
        <v>705.3</v>
      </c>
      <c r="D112" s="10">
        <v>16980090</v>
      </c>
      <c r="E112" s="10" t="s">
        <v>965</v>
      </c>
      <c r="F112" s="10" t="s">
        <v>966</v>
      </c>
      <c r="G112" s="10" t="s">
        <v>967</v>
      </c>
      <c r="I112" s="13">
        <f t="shared" si="1"/>
        <v>-3.9217986541138394E-2</v>
      </c>
    </row>
    <row r="113" spans="1:9" ht="22" x14ac:dyDescent="0.3">
      <c r="A113" s="8"/>
      <c r="B113" s="11">
        <v>45910</v>
      </c>
      <c r="C113" s="10">
        <v>733.51</v>
      </c>
      <c r="D113" s="10">
        <v>12717170</v>
      </c>
      <c r="E113" s="10" t="s">
        <v>968</v>
      </c>
      <c r="F113" s="10" t="s">
        <v>969</v>
      </c>
      <c r="G113" s="10" t="s">
        <v>970</v>
      </c>
      <c r="I113" s="13">
        <f t="shared" si="1"/>
        <v>2.1594527765468996E-2</v>
      </c>
    </row>
    <row r="114" spans="1:9" ht="22" x14ac:dyDescent="0.3">
      <c r="A114" s="8"/>
      <c r="B114" s="11">
        <v>45879</v>
      </c>
      <c r="C114" s="10">
        <v>717.84</v>
      </c>
      <c r="D114" s="10">
        <v>10790570</v>
      </c>
      <c r="E114" s="10" t="s">
        <v>971</v>
      </c>
      <c r="F114" s="10" t="s">
        <v>972</v>
      </c>
      <c r="G114" s="10" t="s">
        <v>973</v>
      </c>
      <c r="I114" s="13">
        <f t="shared" si="1"/>
        <v>6.6530869061418585E-3</v>
      </c>
    </row>
    <row r="115" spans="1:9" ht="22" x14ac:dyDescent="0.3">
      <c r="A115" s="8"/>
      <c r="B115" s="11">
        <v>45848</v>
      </c>
      <c r="C115" s="10">
        <v>713.08</v>
      </c>
      <c r="D115" s="10">
        <v>12062930</v>
      </c>
      <c r="E115" s="10" t="s">
        <v>974</v>
      </c>
      <c r="F115" s="10" t="s">
        <v>975</v>
      </c>
      <c r="G115" s="10" t="s">
        <v>976</v>
      </c>
      <c r="I115" s="13">
        <f t="shared" si="1"/>
        <v>-3.6115777599148302E-3</v>
      </c>
    </row>
    <row r="116" spans="1:9" ht="22" x14ac:dyDescent="0.3">
      <c r="A116" s="8"/>
      <c r="B116" s="11">
        <v>45818</v>
      </c>
      <c r="C116" s="10">
        <v>715.66</v>
      </c>
      <c r="D116" s="10">
        <v>21654740</v>
      </c>
      <c r="E116" s="10" t="s">
        <v>977</v>
      </c>
      <c r="F116" s="10" t="s">
        <v>978</v>
      </c>
      <c r="G116" s="10" t="s">
        <v>979</v>
      </c>
      <c r="I116" s="13">
        <f t="shared" si="1"/>
        <v>7.1518022997834052E-3</v>
      </c>
    </row>
    <row r="117" spans="1:9" ht="22" x14ac:dyDescent="0.3">
      <c r="A117" s="8"/>
      <c r="B117" s="11">
        <v>45726</v>
      </c>
      <c r="C117" s="10">
        <v>710.56</v>
      </c>
      <c r="D117" s="10">
        <v>16154310</v>
      </c>
      <c r="E117" s="10" t="s">
        <v>980</v>
      </c>
      <c r="F117" s="10" t="s">
        <v>981</v>
      </c>
      <c r="G117" s="10" t="s">
        <v>982</v>
      </c>
      <c r="I117" s="13">
        <f t="shared" si="1"/>
        <v>-2.2941859415702481E-2</v>
      </c>
    </row>
    <row r="118" spans="1:9" ht="22" x14ac:dyDescent="0.3">
      <c r="A118" s="8"/>
      <c r="B118" s="11">
        <v>45698</v>
      </c>
      <c r="C118" s="10">
        <v>727.05</v>
      </c>
      <c r="D118" s="10">
        <v>11415270</v>
      </c>
      <c r="E118" s="10" t="s">
        <v>983</v>
      </c>
      <c r="F118" s="10" t="s">
        <v>984</v>
      </c>
      <c r="G118" s="10" t="s">
        <v>985</v>
      </c>
      <c r="I118" s="13">
        <f t="shared" si="1"/>
        <v>1.3445324708817985E-2</v>
      </c>
    </row>
    <row r="119" spans="1:9" ht="22" x14ac:dyDescent="0.3">
      <c r="A119" s="8"/>
      <c r="B119" s="11">
        <v>45667</v>
      </c>
      <c r="C119" s="10">
        <v>717.34</v>
      </c>
      <c r="D119" s="10">
        <v>20419630</v>
      </c>
      <c r="E119" s="10" t="s">
        <v>986</v>
      </c>
      <c r="F119" s="10" t="s">
        <v>987</v>
      </c>
      <c r="G119" s="10" t="s">
        <v>988</v>
      </c>
      <c r="I119" s="13">
        <f t="shared" si="1"/>
        <v>-2.347667956930799E-2</v>
      </c>
    </row>
    <row r="120" spans="1:9" ht="22" x14ac:dyDescent="0.3">
      <c r="A120" s="8"/>
      <c r="B120" s="9" t="s">
        <v>360</v>
      </c>
      <c r="C120" s="10">
        <v>734.38</v>
      </c>
      <c r="D120" s="10">
        <v>16226750</v>
      </c>
      <c r="E120" s="10" t="s">
        <v>989</v>
      </c>
      <c r="F120" s="10" t="s">
        <v>990</v>
      </c>
      <c r="G120" s="10" t="s">
        <v>991</v>
      </c>
      <c r="I120" s="13">
        <f t="shared" si="1"/>
        <v>-1.2207652043167094E-2</v>
      </c>
    </row>
    <row r="121" spans="1:9" ht="22" x14ac:dyDescent="0.3">
      <c r="A121" s="8"/>
      <c r="B121" s="9" t="s">
        <v>363</v>
      </c>
      <c r="C121" s="10">
        <v>743.4</v>
      </c>
      <c r="D121" s="10">
        <v>9246768</v>
      </c>
      <c r="E121" s="10" t="s">
        <v>992</v>
      </c>
      <c r="F121" s="10" t="s">
        <v>993</v>
      </c>
      <c r="G121" s="10" t="s">
        <v>994</v>
      </c>
      <c r="I121" s="13">
        <f t="shared" si="1"/>
        <v>-4.7069899668805704E-4</v>
      </c>
    </row>
    <row r="122" spans="1:9" ht="22" x14ac:dyDescent="0.3">
      <c r="A122" s="8"/>
      <c r="B122" s="9" t="s">
        <v>365</v>
      </c>
      <c r="C122" s="10">
        <v>743.75</v>
      </c>
      <c r="D122" s="10">
        <v>9696338</v>
      </c>
      <c r="E122" s="10" t="s">
        <v>995</v>
      </c>
      <c r="F122" s="10" t="s">
        <v>996</v>
      </c>
      <c r="G122" s="10" t="s">
        <v>997</v>
      </c>
      <c r="I122" s="13">
        <f t="shared" si="1"/>
        <v>-6.9138592239443852E-3</v>
      </c>
    </row>
    <row r="123" spans="1:9" ht="22" x14ac:dyDescent="0.3">
      <c r="A123" s="8"/>
      <c r="B123" s="9" t="s">
        <v>367</v>
      </c>
      <c r="C123" s="10">
        <v>748.91</v>
      </c>
      <c r="D123" s="10">
        <v>10591070</v>
      </c>
      <c r="E123" s="10" t="s">
        <v>998</v>
      </c>
      <c r="F123" s="10" t="s">
        <v>999</v>
      </c>
      <c r="G123" s="10" t="s">
        <v>1000</v>
      </c>
      <c r="I123" s="13">
        <f t="shared" si="1"/>
        <v>-1.5567661389828125E-2</v>
      </c>
    </row>
    <row r="124" spans="1:9" ht="22" x14ac:dyDescent="0.3">
      <c r="A124" s="8"/>
      <c r="B124" s="9" t="s">
        <v>370</v>
      </c>
      <c r="C124" s="10">
        <v>760.66</v>
      </c>
      <c r="D124" s="10">
        <v>8828227</v>
      </c>
      <c r="E124" s="10" t="s">
        <v>1001</v>
      </c>
      <c r="F124" s="10" t="s">
        <v>1002</v>
      </c>
      <c r="G124" s="10" t="s">
        <v>1003</v>
      </c>
      <c r="I124" s="13">
        <f t="shared" si="1"/>
        <v>6.9390671952556104E-3</v>
      </c>
    </row>
    <row r="125" spans="1:9" ht="22" x14ac:dyDescent="0.3">
      <c r="A125" s="8"/>
      <c r="B125" s="9" t="s">
        <v>374</v>
      </c>
      <c r="C125" s="10">
        <v>755.4</v>
      </c>
      <c r="D125" s="10">
        <v>10872590</v>
      </c>
      <c r="E125" s="10" t="s">
        <v>1004</v>
      </c>
      <c r="F125" s="10" t="s">
        <v>1005</v>
      </c>
      <c r="G125" s="10" t="s">
        <v>1006</v>
      </c>
      <c r="I125" s="13">
        <f t="shared" si="1"/>
        <v>-1.2837552006096153E-2</v>
      </c>
    </row>
    <row r="126" spans="1:9" ht="22" x14ac:dyDescent="0.3">
      <c r="A126" s="8"/>
      <c r="B126" s="9" t="s">
        <v>377</v>
      </c>
      <c r="C126" s="10">
        <v>765.16</v>
      </c>
      <c r="D126" s="10">
        <v>11706950</v>
      </c>
      <c r="E126" s="10" t="s">
        <v>1007</v>
      </c>
      <c r="F126" s="10" t="s">
        <v>1008</v>
      </c>
      <c r="G126" s="10" t="s">
        <v>1009</v>
      </c>
      <c r="I126" s="13">
        <f t="shared" si="1"/>
        <v>-1.7129874526522926E-2</v>
      </c>
    </row>
    <row r="127" spans="1:9" ht="22" x14ac:dyDescent="0.3">
      <c r="A127" s="8"/>
      <c r="B127" s="9" t="s">
        <v>379</v>
      </c>
      <c r="C127" s="10">
        <v>778.38</v>
      </c>
      <c r="D127" s="10">
        <v>23696820</v>
      </c>
      <c r="E127" s="10" t="s">
        <v>1010</v>
      </c>
      <c r="F127" s="10" t="s">
        <v>1011</v>
      </c>
      <c r="G127" s="10" t="s">
        <v>1012</v>
      </c>
      <c r="I127" s="13">
        <f t="shared" si="1"/>
        <v>-2.3995443399131844E-3</v>
      </c>
    </row>
    <row r="128" spans="1:9" ht="22" x14ac:dyDescent="0.3">
      <c r="A128" s="8"/>
      <c r="B128" s="9" t="s">
        <v>382</v>
      </c>
      <c r="C128" s="10">
        <v>780.25</v>
      </c>
      <c r="D128" s="10">
        <v>10954950</v>
      </c>
      <c r="E128" s="10" t="s">
        <v>1013</v>
      </c>
      <c r="F128" s="10" t="s">
        <v>1014</v>
      </c>
      <c r="G128" s="10" t="s">
        <v>1015</v>
      </c>
      <c r="I128" s="13">
        <f t="shared" si="1"/>
        <v>5.8291964683316877E-3</v>
      </c>
    </row>
    <row r="129" spans="1:9" ht="22" x14ac:dyDescent="0.3">
      <c r="A129" s="8"/>
      <c r="B129" s="9" t="s">
        <v>383</v>
      </c>
      <c r="C129" s="10">
        <v>775.71500000000003</v>
      </c>
      <c r="D129" s="10">
        <v>9400867</v>
      </c>
      <c r="E129" s="10" t="s">
        <v>1016</v>
      </c>
      <c r="F129" s="10" t="s">
        <v>1017</v>
      </c>
      <c r="G129" s="10" t="s">
        <v>1018</v>
      </c>
      <c r="I129" s="13">
        <f t="shared" si="1"/>
        <v>-4.2258611881909047E-3</v>
      </c>
    </row>
    <row r="130" spans="1:9" ht="22" x14ac:dyDescent="0.3">
      <c r="A130" s="8"/>
      <c r="B130" s="9" t="s">
        <v>385</v>
      </c>
      <c r="C130" s="10">
        <v>779</v>
      </c>
      <c r="D130" s="10">
        <v>11782480</v>
      </c>
      <c r="E130" s="10" t="s">
        <v>1019</v>
      </c>
      <c r="F130" s="10" t="s">
        <v>1020</v>
      </c>
      <c r="G130" s="10" t="s">
        <v>1021</v>
      </c>
      <c r="I130" s="13">
        <f t="shared" si="1"/>
        <v>1.8527445820568644E-2</v>
      </c>
    </row>
    <row r="131" spans="1:9" ht="22" x14ac:dyDescent="0.3">
      <c r="A131" s="8"/>
      <c r="B131" s="9" t="s">
        <v>386</v>
      </c>
      <c r="C131" s="10">
        <v>764.7</v>
      </c>
      <c r="D131" s="10">
        <v>10533780</v>
      </c>
      <c r="E131" s="10" t="s">
        <v>1022</v>
      </c>
      <c r="F131" s="10" t="s">
        <v>1023</v>
      </c>
      <c r="G131" s="10" t="s">
        <v>1024</v>
      </c>
      <c r="I131" s="13">
        <f t="shared" si="1"/>
        <v>1.1984699026018397E-2</v>
      </c>
    </row>
    <row r="132" spans="1:9" ht="22" x14ac:dyDescent="0.3">
      <c r="A132" s="8"/>
      <c r="B132" s="11">
        <v>46000</v>
      </c>
      <c r="C132" s="10">
        <v>755.59</v>
      </c>
      <c r="D132" s="10">
        <v>8248557</v>
      </c>
      <c r="E132" s="10" t="s">
        <v>1025</v>
      </c>
      <c r="F132" s="10" t="s">
        <v>1026</v>
      </c>
      <c r="G132" s="10" t="s">
        <v>1027</v>
      </c>
      <c r="I132" s="13">
        <f t="shared" ref="I132:I195" si="2">LN(C132)-LN(C133)</f>
        <v>6.2264139183225709E-3</v>
      </c>
    </row>
    <row r="133" spans="1:9" ht="22" x14ac:dyDescent="0.3">
      <c r="A133" s="8"/>
      <c r="B133" s="11">
        <v>45970</v>
      </c>
      <c r="C133" s="10">
        <v>750.9</v>
      </c>
      <c r="D133" s="10">
        <v>7923284</v>
      </c>
      <c r="E133" s="10" t="s">
        <v>1028</v>
      </c>
      <c r="F133" s="10" t="s">
        <v>1029</v>
      </c>
      <c r="G133" s="10" t="s">
        <v>1030</v>
      </c>
      <c r="I133" s="13">
        <f t="shared" si="2"/>
        <v>-1.43724074564755E-3</v>
      </c>
    </row>
    <row r="134" spans="1:9" ht="22" x14ac:dyDescent="0.3">
      <c r="A134" s="8"/>
      <c r="B134" s="11">
        <v>45939</v>
      </c>
      <c r="C134" s="10">
        <v>751.98</v>
      </c>
      <c r="D134" s="10">
        <v>12478280</v>
      </c>
      <c r="E134" s="10" t="s">
        <v>1031</v>
      </c>
      <c r="F134" s="10" t="s">
        <v>1032</v>
      </c>
      <c r="G134" s="10" t="s">
        <v>1033</v>
      </c>
      <c r="I134" s="13">
        <f t="shared" si="2"/>
        <v>-1.8080720267591666E-2</v>
      </c>
    </row>
    <row r="135" spans="1:9" ht="22" x14ac:dyDescent="0.3">
      <c r="A135" s="8"/>
      <c r="B135" s="11">
        <v>45909</v>
      </c>
      <c r="C135" s="10">
        <v>765.7</v>
      </c>
      <c r="D135" s="10">
        <v>10999030</v>
      </c>
      <c r="E135" s="10" t="s">
        <v>1034</v>
      </c>
      <c r="F135" s="10" t="s">
        <v>1035</v>
      </c>
      <c r="G135" s="10" t="s">
        <v>1036</v>
      </c>
      <c r="I135" s="13">
        <f t="shared" si="2"/>
        <v>1.7655267552902032E-2</v>
      </c>
    </row>
    <row r="136" spans="1:9" ht="22" x14ac:dyDescent="0.3">
      <c r="A136" s="8"/>
      <c r="B136" s="11">
        <v>45878</v>
      </c>
      <c r="C136" s="10">
        <v>752.3</v>
      </c>
      <c r="D136" s="10">
        <v>13087820</v>
      </c>
      <c r="E136" s="10" t="s">
        <v>1037</v>
      </c>
      <c r="F136" s="10" t="s">
        <v>1038</v>
      </c>
      <c r="G136" s="10" t="s">
        <v>1039</v>
      </c>
      <c r="I136" s="13">
        <f t="shared" si="2"/>
        <v>-1.9936866655179131E-4</v>
      </c>
    </row>
    <row r="137" spans="1:9" ht="22" x14ac:dyDescent="0.3">
      <c r="A137" s="8"/>
      <c r="B137" s="11">
        <v>45786</v>
      </c>
      <c r="C137" s="10">
        <v>752.45</v>
      </c>
      <c r="D137" s="10">
        <v>9663441</v>
      </c>
      <c r="E137" s="10" t="s">
        <v>1040</v>
      </c>
      <c r="F137" s="10" t="s">
        <v>1041</v>
      </c>
      <c r="G137" s="10" t="s">
        <v>1042</v>
      </c>
      <c r="I137" s="13">
        <f t="shared" si="2"/>
        <v>5.0629646489994684E-3</v>
      </c>
    </row>
    <row r="138" spans="1:9" ht="22" x14ac:dyDescent="0.3">
      <c r="A138" s="8"/>
      <c r="B138" s="11">
        <v>45756</v>
      </c>
      <c r="C138" s="10">
        <v>748.65</v>
      </c>
      <c r="D138" s="10">
        <v>11439080</v>
      </c>
      <c r="E138" s="10" t="s">
        <v>1043</v>
      </c>
      <c r="F138" s="10" t="s">
        <v>1044</v>
      </c>
      <c r="G138" s="10" t="s">
        <v>1045</v>
      </c>
      <c r="I138" s="13">
        <f t="shared" si="2"/>
        <v>1.5615852090441251E-2</v>
      </c>
    </row>
    <row r="139" spans="1:9" ht="22" x14ac:dyDescent="0.3">
      <c r="A139" s="8"/>
      <c r="B139" s="11">
        <v>45725</v>
      </c>
      <c r="C139" s="10">
        <v>737.05</v>
      </c>
      <c r="D139" s="10">
        <v>7699332</v>
      </c>
      <c r="E139" s="10" t="s">
        <v>1046</v>
      </c>
      <c r="F139" s="10" t="s">
        <v>1047</v>
      </c>
      <c r="G139" s="10" t="s">
        <v>1048</v>
      </c>
      <c r="I139" s="13">
        <f t="shared" si="2"/>
        <v>2.635584614425035E-3</v>
      </c>
    </row>
    <row r="140" spans="1:9" ht="22" x14ac:dyDescent="0.3">
      <c r="A140" s="8"/>
      <c r="B140" s="11">
        <v>45697</v>
      </c>
      <c r="C140" s="10">
        <v>735.11</v>
      </c>
      <c r="D140" s="10">
        <v>9350857</v>
      </c>
      <c r="E140" s="10" t="s">
        <v>1049</v>
      </c>
      <c r="F140" s="10" t="s">
        <v>1046</v>
      </c>
      <c r="G140" s="10" t="s">
        <v>1050</v>
      </c>
      <c r="I140" s="13">
        <f t="shared" si="2"/>
        <v>-4.8717366558301833E-3</v>
      </c>
    </row>
    <row r="141" spans="1:9" ht="22" x14ac:dyDescent="0.3">
      <c r="A141" s="8"/>
      <c r="B141" s="9" t="s">
        <v>400</v>
      </c>
      <c r="C141" s="10">
        <v>738.7</v>
      </c>
      <c r="D141" s="10">
        <v>9070546</v>
      </c>
      <c r="E141" s="10" t="s">
        <v>1051</v>
      </c>
      <c r="F141" s="10" t="s">
        <v>1052</v>
      </c>
      <c r="G141" s="10" t="s">
        <v>1053</v>
      </c>
      <c r="I141" s="13">
        <f t="shared" si="2"/>
        <v>-1.6660227875063605E-2</v>
      </c>
    </row>
    <row r="142" spans="1:9" ht="22" x14ac:dyDescent="0.3">
      <c r="A142" s="8"/>
      <c r="B142" s="9" t="s">
        <v>401</v>
      </c>
      <c r="C142" s="10">
        <v>751.11</v>
      </c>
      <c r="D142" s="10">
        <v>7467955</v>
      </c>
      <c r="E142" s="10" t="s">
        <v>746</v>
      </c>
      <c r="F142" s="10" t="s">
        <v>1054</v>
      </c>
      <c r="G142" s="10" t="s">
        <v>1055</v>
      </c>
      <c r="I142" s="13">
        <f t="shared" si="2"/>
        <v>4.978355149112268E-3</v>
      </c>
    </row>
    <row r="143" spans="1:9" ht="22" x14ac:dyDescent="0.3">
      <c r="A143" s="8"/>
      <c r="B143" s="9" t="s">
        <v>404</v>
      </c>
      <c r="C143" s="10">
        <v>747.38</v>
      </c>
      <c r="D143" s="10">
        <v>8315435</v>
      </c>
      <c r="E143" s="10" t="s">
        <v>1056</v>
      </c>
      <c r="F143" s="10" t="s">
        <v>1057</v>
      </c>
      <c r="G143" s="10" t="s">
        <v>1058</v>
      </c>
      <c r="I143" s="13">
        <f t="shared" si="2"/>
        <v>-8.9512279479579959E-3</v>
      </c>
    </row>
    <row r="144" spans="1:9" ht="22" x14ac:dyDescent="0.3">
      <c r="A144" s="8"/>
      <c r="B144" s="9" t="s">
        <v>407</v>
      </c>
      <c r="C144" s="10">
        <v>754.1</v>
      </c>
      <c r="D144" s="10">
        <v>7601800</v>
      </c>
      <c r="E144" s="10" t="s">
        <v>1059</v>
      </c>
      <c r="F144" s="10" t="s">
        <v>1060</v>
      </c>
      <c r="G144" s="10" t="s">
        <v>1061</v>
      </c>
      <c r="I144" s="13">
        <f t="shared" si="2"/>
        <v>1.0614303769527211E-3</v>
      </c>
    </row>
    <row r="145" spans="1:9" ht="22" x14ac:dyDescent="0.3">
      <c r="A145" s="8"/>
      <c r="B145" s="9" t="s">
        <v>410</v>
      </c>
      <c r="C145" s="10">
        <v>753.3</v>
      </c>
      <c r="D145" s="10">
        <v>6861158</v>
      </c>
      <c r="E145" s="10" t="s">
        <v>1062</v>
      </c>
      <c r="F145" s="10" t="s">
        <v>1063</v>
      </c>
      <c r="G145" s="10" t="s">
        <v>1064</v>
      </c>
      <c r="I145" s="13">
        <f t="shared" si="2"/>
        <v>-1.9760100323233942E-3</v>
      </c>
    </row>
    <row r="146" spans="1:9" ht="22" x14ac:dyDescent="0.3">
      <c r="A146" s="8"/>
      <c r="B146" s="9" t="s">
        <v>412</v>
      </c>
      <c r="C146" s="10">
        <v>754.79</v>
      </c>
      <c r="D146" s="10">
        <v>10612670</v>
      </c>
      <c r="E146" s="10" t="s">
        <v>1065</v>
      </c>
      <c r="F146" s="10" t="s">
        <v>1066</v>
      </c>
      <c r="G146" s="10" t="s">
        <v>1067</v>
      </c>
      <c r="I146" s="13">
        <f t="shared" si="2"/>
        <v>2.1006335073130877E-2</v>
      </c>
    </row>
    <row r="147" spans="1:9" ht="22" x14ac:dyDescent="0.3">
      <c r="A147" s="8"/>
      <c r="B147" s="9" t="s">
        <v>413</v>
      </c>
      <c r="C147" s="10">
        <v>739.1</v>
      </c>
      <c r="D147" s="10">
        <v>8876307</v>
      </c>
      <c r="E147" s="10" t="s">
        <v>1068</v>
      </c>
      <c r="F147" s="10" t="s">
        <v>1069</v>
      </c>
      <c r="G147" s="10" t="s">
        <v>1070</v>
      </c>
      <c r="I147" s="13">
        <f t="shared" si="2"/>
        <v>-1.1595346553289865E-2</v>
      </c>
    </row>
    <row r="148" spans="1:9" ht="22" x14ac:dyDescent="0.3">
      <c r="A148" s="8"/>
      <c r="B148" s="9" t="s">
        <v>414</v>
      </c>
      <c r="C148" s="10">
        <v>747.72</v>
      </c>
      <c r="D148" s="10">
        <v>11898190</v>
      </c>
      <c r="E148" s="10" t="s">
        <v>1071</v>
      </c>
      <c r="F148" s="10" t="s">
        <v>1072</v>
      </c>
      <c r="G148" s="10" t="s">
        <v>981</v>
      </c>
      <c r="I148" s="13">
        <f t="shared" si="2"/>
        <v>-5.0160190549668471E-3</v>
      </c>
    </row>
    <row r="149" spans="1:9" ht="22" x14ac:dyDescent="0.3">
      <c r="A149" s="8"/>
      <c r="B149" s="9" t="s">
        <v>416</v>
      </c>
      <c r="C149" s="10">
        <v>751.48</v>
      </c>
      <c r="D149" s="10">
        <v>12286690</v>
      </c>
      <c r="E149" s="10" t="s">
        <v>1073</v>
      </c>
      <c r="F149" s="10" t="s">
        <v>1074</v>
      </c>
      <c r="G149" s="10" t="s">
        <v>1075</v>
      </c>
      <c r="I149" s="13">
        <f t="shared" si="2"/>
        <v>-2.0924488608162761E-2</v>
      </c>
    </row>
    <row r="150" spans="1:9" ht="22" x14ac:dyDescent="0.3">
      <c r="A150" s="8"/>
      <c r="B150" s="9" t="s">
        <v>418</v>
      </c>
      <c r="C150" s="10">
        <v>767.37</v>
      </c>
      <c r="D150" s="10">
        <v>16513740</v>
      </c>
      <c r="E150" s="10" t="s">
        <v>1076</v>
      </c>
      <c r="F150" s="10" t="s">
        <v>1077</v>
      </c>
      <c r="G150" s="10" t="s">
        <v>1078</v>
      </c>
      <c r="I150" s="13">
        <f t="shared" si="2"/>
        <v>-2.3007584491469224E-2</v>
      </c>
    </row>
    <row r="151" spans="1:9" ht="22" x14ac:dyDescent="0.3">
      <c r="A151" s="8"/>
      <c r="B151" s="9" t="s">
        <v>420</v>
      </c>
      <c r="C151" s="10">
        <v>785.23</v>
      </c>
      <c r="D151" s="10">
        <v>13375360</v>
      </c>
      <c r="E151" s="10" t="s">
        <v>1079</v>
      </c>
      <c r="F151" s="10" t="s">
        <v>1080</v>
      </c>
      <c r="G151" s="10" t="s">
        <v>1081</v>
      </c>
      <c r="I151" s="13">
        <f t="shared" si="2"/>
        <v>3.9557013606170699E-3</v>
      </c>
    </row>
    <row r="152" spans="1:9" ht="22" x14ac:dyDescent="0.3">
      <c r="A152" s="8"/>
      <c r="B152" s="9" t="s">
        <v>422</v>
      </c>
      <c r="C152" s="10">
        <v>782.13</v>
      </c>
      <c r="D152" s="10">
        <v>8116193</v>
      </c>
      <c r="E152" s="10" t="s">
        <v>1082</v>
      </c>
      <c r="F152" s="10" t="s">
        <v>1083</v>
      </c>
      <c r="G152" s="10" t="s">
        <v>1084</v>
      </c>
      <c r="I152" s="13">
        <f t="shared" si="2"/>
        <v>2.6244886112491983E-3</v>
      </c>
    </row>
    <row r="153" spans="1:9" ht="22" x14ac:dyDescent="0.3">
      <c r="A153" s="8"/>
      <c r="B153" s="9" t="s">
        <v>424</v>
      </c>
      <c r="C153" s="10">
        <v>780.08</v>
      </c>
      <c r="D153" s="10">
        <v>8811750</v>
      </c>
      <c r="E153" s="10" t="s">
        <v>1085</v>
      </c>
      <c r="F153" s="10" t="s">
        <v>1086</v>
      </c>
      <c r="G153" s="10" t="s">
        <v>1087</v>
      </c>
      <c r="I153" s="13">
        <f t="shared" si="2"/>
        <v>-1.2636466934203838E-2</v>
      </c>
    </row>
    <row r="154" spans="1:9" ht="22" x14ac:dyDescent="0.3">
      <c r="A154" s="8"/>
      <c r="B154" s="11">
        <v>45999</v>
      </c>
      <c r="C154" s="10">
        <v>790</v>
      </c>
      <c r="D154" s="10">
        <v>14579770</v>
      </c>
      <c r="E154" s="10" t="s">
        <v>1088</v>
      </c>
      <c r="F154" s="10" t="s">
        <v>1089</v>
      </c>
      <c r="G154" s="10" t="s">
        <v>1090</v>
      </c>
      <c r="I154" s="13">
        <f t="shared" si="2"/>
        <v>3.1020502917055381E-2</v>
      </c>
    </row>
    <row r="155" spans="1:9" ht="22" x14ac:dyDescent="0.3">
      <c r="A155" s="8"/>
      <c r="B155" s="11">
        <v>45969</v>
      </c>
      <c r="C155" s="10">
        <v>765.87</v>
      </c>
      <c r="D155" s="10">
        <v>7611964</v>
      </c>
      <c r="E155" s="10" t="s">
        <v>1091</v>
      </c>
      <c r="F155" s="10" t="s">
        <v>1092</v>
      </c>
      <c r="G155" s="10" t="s">
        <v>1093</v>
      </c>
      <c r="I155" s="13">
        <f t="shared" si="2"/>
        <v>-4.4685679208766871E-3</v>
      </c>
    </row>
    <row r="156" spans="1:9" ht="22" x14ac:dyDescent="0.3">
      <c r="A156" s="8"/>
      <c r="B156" s="11">
        <v>45877</v>
      </c>
      <c r="C156" s="10">
        <v>769.3</v>
      </c>
      <c r="D156" s="10">
        <v>7320755</v>
      </c>
      <c r="E156" s="10" t="s">
        <v>1094</v>
      </c>
      <c r="F156" s="10" t="s">
        <v>1095</v>
      </c>
      <c r="G156" s="10" t="s">
        <v>1096</v>
      </c>
      <c r="I156" s="13">
        <f t="shared" si="2"/>
        <v>9.7575767809665592E-3</v>
      </c>
    </row>
    <row r="157" spans="1:9" ht="22" x14ac:dyDescent="0.3">
      <c r="A157" s="8"/>
      <c r="B157" s="11">
        <v>45846</v>
      </c>
      <c r="C157" s="10">
        <v>761.83</v>
      </c>
      <c r="D157" s="10">
        <v>9019691</v>
      </c>
      <c r="E157" s="10" t="s">
        <v>1097</v>
      </c>
      <c r="F157" s="10" t="s">
        <v>1098</v>
      </c>
      <c r="G157" s="10" t="s">
        <v>1099</v>
      </c>
      <c r="I157" s="13">
        <f t="shared" si="2"/>
        <v>-1.3248162889082593E-2</v>
      </c>
    </row>
    <row r="158" spans="1:9" ht="22" x14ac:dyDescent="0.3">
      <c r="A158" s="8"/>
      <c r="B158" s="11">
        <v>45816</v>
      </c>
      <c r="C158" s="10">
        <v>771.99</v>
      </c>
      <c r="D158" s="10">
        <v>9733910</v>
      </c>
      <c r="E158" s="10" t="s">
        <v>1100</v>
      </c>
      <c r="F158" s="10" t="s">
        <v>1101</v>
      </c>
      <c r="G158" s="10" t="s">
        <v>1102</v>
      </c>
      <c r="I158" s="13">
        <f t="shared" si="2"/>
        <v>1.1110863594530507E-2</v>
      </c>
    </row>
    <row r="159" spans="1:9" ht="22" x14ac:dyDescent="0.3">
      <c r="A159" s="8"/>
      <c r="B159" s="11">
        <v>45785</v>
      </c>
      <c r="C159" s="10">
        <v>763.46</v>
      </c>
      <c r="D159" s="10">
        <v>11640290</v>
      </c>
      <c r="E159" s="10" t="s">
        <v>1103</v>
      </c>
      <c r="F159" s="10" t="s">
        <v>1104</v>
      </c>
      <c r="G159" s="10" t="s">
        <v>1105</v>
      </c>
      <c r="I159" s="13">
        <f t="shared" si="2"/>
        <v>-1.6768477693489103E-2</v>
      </c>
    </row>
    <row r="160" spans="1:9" ht="22" x14ac:dyDescent="0.3">
      <c r="A160" s="8"/>
      <c r="B160" s="11">
        <v>45755</v>
      </c>
      <c r="C160" s="10">
        <v>776.37</v>
      </c>
      <c r="D160" s="10">
        <v>15801730</v>
      </c>
      <c r="E160" s="10" t="s">
        <v>1106</v>
      </c>
      <c r="F160" s="10" t="s">
        <v>1107</v>
      </c>
      <c r="G160" s="10" t="s">
        <v>1108</v>
      </c>
      <c r="I160" s="13">
        <f t="shared" si="2"/>
        <v>3.4542670897161898E-2</v>
      </c>
    </row>
    <row r="161" spans="1:9" ht="22" x14ac:dyDescent="0.3">
      <c r="A161" s="8"/>
      <c r="B161" s="11">
        <v>45665</v>
      </c>
      <c r="C161" s="10">
        <v>750.01</v>
      </c>
      <c r="D161" s="10">
        <v>19028710</v>
      </c>
      <c r="E161" s="10" t="s">
        <v>1109</v>
      </c>
      <c r="F161" s="10" t="s">
        <v>1110</v>
      </c>
      <c r="G161" s="10" t="s">
        <v>1111</v>
      </c>
      <c r="I161" s="13">
        <f t="shared" si="2"/>
        <v>-3.076155774031708E-2</v>
      </c>
    </row>
    <row r="162" spans="1:9" ht="22" x14ac:dyDescent="0.3">
      <c r="A162" s="8"/>
      <c r="B162" s="9" t="s">
        <v>444</v>
      </c>
      <c r="C162" s="10">
        <v>773.44</v>
      </c>
      <c r="D162" s="10">
        <v>38831100</v>
      </c>
      <c r="E162" s="10" t="s">
        <v>1112</v>
      </c>
      <c r="F162" s="10" t="s">
        <v>1113</v>
      </c>
      <c r="G162" s="10" t="s">
        <v>1114</v>
      </c>
      <c r="I162" s="13">
        <f t="shared" si="2"/>
        <v>0.10663413931756249</v>
      </c>
    </row>
    <row r="163" spans="1:9" ht="22" x14ac:dyDescent="0.3">
      <c r="A163" s="8"/>
      <c r="B163" s="9" t="s">
        <v>448</v>
      </c>
      <c r="C163" s="10">
        <v>695.21</v>
      </c>
      <c r="D163" s="10">
        <v>27077290</v>
      </c>
      <c r="E163" s="10" t="s">
        <v>1115</v>
      </c>
      <c r="F163" s="10" t="s">
        <v>1116</v>
      </c>
      <c r="G163" s="10" t="s">
        <v>1117</v>
      </c>
      <c r="I163" s="13">
        <f t="shared" si="2"/>
        <v>-6.8663768458483432E-3</v>
      </c>
    </row>
    <row r="164" spans="1:9" ht="22" x14ac:dyDescent="0.3">
      <c r="A164" s="8"/>
      <c r="B164" s="9" t="s">
        <v>451</v>
      </c>
      <c r="C164" s="10">
        <v>700</v>
      </c>
      <c r="D164" s="10">
        <v>13267030</v>
      </c>
      <c r="E164" s="10" t="s">
        <v>1118</v>
      </c>
      <c r="F164" s="10" t="s">
        <v>1119</v>
      </c>
      <c r="G164" s="10" t="s">
        <v>1120</v>
      </c>
      <c r="I164" s="13">
        <f t="shared" si="2"/>
        <v>-2.4873780847401328E-2</v>
      </c>
    </row>
    <row r="165" spans="1:9" ht="22" x14ac:dyDescent="0.3">
      <c r="A165" s="8"/>
      <c r="B165" s="9" t="s">
        <v>454</v>
      </c>
      <c r="C165" s="10">
        <v>717.63</v>
      </c>
      <c r="D165" s="10">
        <v>8715743</v>
      </c>
      <c r="E165" s="10" t="s">
        <v>1121</v>
      </c>
      <c r="F165" s="10" t="s">
        <v>1122</v>
      </c>
      <c r="G165" s="10" t="s">
        <v>1123</v>
      </c>
      <c r="I165" s="13">
        <f t="shared" si="2"/>
        <v>6.9216040750363916E-3</v>
      </c>
    </row>
    <row r="166" spans="1:9" ht="22" x14ac:dyDescent="0.3">
      <c r="A166" s="8"/>
      <c r="B166" s="9" t="s">
        <v>458</v>
      </c>
      <c r="C166" s="10">
        <v>712.68</v>
      </c>
      <c r="D166" s="10">
        <v>8271698</v>
      </c>
      <c r="E166" s="10" t="s">
        <v>1124</v>
      </c>
      <c r="F166" s="10" t="s">
        <v>1125</v>
      </c>
      <c r="G166" s="10" t="s">
        <v>1126</v>
      </c>
      <c r="I166" s="13">
        <f t="shared" si="2"/>
        <v>-2.9702714695032384E-3</v>
      </c>
    </row>
    <row r="167" spans="1:9" ht="22" x14ac:dyDescent="0.3">
      <c r="A167" s="8"/>
      <c r="B167" s="9" t="s">
        <v>460</v>
      </c>
      <c r="C167" s="10">
        <v>714.8</v>
      </c>
      <c r="D167" s="10">
        <v>10920840</v>
      </c>
      <c r="E167" s="10" t="s">
        <v>1127</v>
      </c>
      <c r="F167" s="10" t="s">
        <v>1128</v>
      </c>
      <c r="G167" s="10" t="s">
        <v>1129</v>
      </c>
      <c r="I167" s="13">
        <f t="shared" si="2"/>
        <v>1.7082293180639141E-3</v>
      </c>
    </row>
    <row r="168" spans="1:9" ht="22" x14ac:dyDescent="0.3">
      <c r="A168" s="8"/>
      <c r="B168" s="9" t="s">
        <v>463</v>
      </c>
      <c r="C168" s="10">
        <v>713.58</v>
      </c>
      <c r="D168" s="10">
        <v>8771615</v>
      </c>
      <c r="E168" s="10" t="s">
        <v>1130</v>
      </c>
      <c r="F168" s="10" t="s">
        <v>1131</v>
      </c>
      <c r="G168" s="10" t="s">
        <v>1132</v>
      </c>
      <c r="I168" s="13">
        <f t="shared" si="2"/>
        <v>1.236629102364617E-2</v>
      </c>
    </row>
    <row r="169" spans="1:9" ht="22" x14ac:dyDescent="0.3">
      <c r="A169" s="8"/>
      <c r="B169" s="9" t="s">
        <v>466</v>
      </c>
      <c r="C169" s="10">
        <v>704.81</v>
      </c>
      <c r="D169" s="10">
        <v>8921064</v>
      </c>
      <c r="E169" s="10" t="s">
        <v>1133</v>
      </c>
      <c r="F169" s="10" t="s">
        <v>1134</v>
      </c>
      <c r="G169" s="10" t="s">
        <v>1135</v>
      </c>
      <c r="I169" s="13">
        <f t="shared" si="2"/>
        <v>-1.1504067906813908E-2</v>
      </c>
    </row>
    <row r="170" spans="1:9" ht="22" x14ac:dyDescent="0.3">
      <c r="A170" s="8"/>
      <c r="B170" s="9" t="s">
        <v>469</v>
      </c>
      <c r="C170" s="10">
        <v>712.96500000000003</v>
      </c>
      <c r="D170" s="10">
        <v>9404391</v>
      </c>
      <c r="E170" s="10" t="s">
        <v>1136</v>
      </c>
      <c r="F170" s="10" t="s">
        <v>737</v>
      </c>
      <c r="G170" s="10" t="s">
        <v>1137</v>
      </c>
      <c r="I170" s="13">
        <f t="shared" si="2"/>
        <v>1.2256326492132708E-2</v>
      </c>
    </row>
    <row r="171" spans="1:9" ht="22" x14ac:dyDescent="0.3">
      <c r="A171" s="8"/>
      <c r="B171" s="9" t="s">
        <v>471</v>
      </c>
      <c r="C171" s="10">
        <v>704.28</v>
      </c>
      <c r="D171" s="10">
        <v>12779750</v>
      </c>
      <c r="E171" s="10" t="s">
        <v>1138</v>
      </c>
      <c r="F171" s="10" t="s">
        <v>1139</v>
      </c>
      <c r="G171" s="10" t="s">
        <v>1140</v>
      </c>
      <c r="I171" s="13">
        <f t="shared" si="2"/>
        <v>4.0834095539130644E-3</v>
      </c>
    </row>
    <row r="172" spans="1:9" ht="22" x14ac:dyDescent="0.3">
      <c r="A172" s="8"/>
      <c r="B172" s="9" t="s">
        <v>474</v>
      </c>
      <c r="C172" s="10">
        <v>701.41</v>
      </c>
      <c r="D172" s="10">
        <v>11803260</v>
      </c>
      <c r="E172" s="10" t="s">
        <v>1141</v>
      </c>
      <c r="F172" s="10" t="s">
        <v>1142</v>
      </c>
      <c r="G172" s="10" t="s">
        <v>1143</v>
      </c>
      <c r="I172" s="13">
        <f t="shared" si="2"/>
        <v>-2.1362660511199394E-3</v>
      </c>
    </row>
    <row r="173" spans="1:9" ht="22" x14ac:dyDescent="0.3">
      <c r="A173" s="8"/>
      <c r="B173" s="9" t="s">
        <v>477</v>
      </c>
      <c r="C173" s="10">
        <v>702.91</v>
      </c>
      <c r="D173" s="10">
        <v>13067630</v>
      </c>
      <c r="E173" s="10" t="s">
        <v>1144</v>
      </c>
      <c r="F173" s="10" t="s">
        <v>1145</v>
      </c>
      <c r="G173" s="10" t="s">
        <v>1146</v>
      </c>
      <c r="I173" s="13">
        <f t="shared" si="2"/>
        <v>-1.0585254146857181E-2</v>
      </c>
    </row>
    <row r="174" spans="1:9" ht="22" x14ac:dyDescent="0.3">
      <c r="A174" s="8"/>
      <c r="B174" s="9" t="s">
        <v>480</v>
      </c>
      <c r="C174" s="10">
        <v>710.39</v>
      </c>
      <c r="D174" s="10">
        <v>11529510</v>
      </c>
      <c r="E174" s="10" t="s">
        <v>957</v>
      </c>
      <c r="F174" s="10" t="s">
        <v>1147</v>
      </c>
      <c r="G174" s="10" t="s">
        <v>1148</v>
      </c>
      <c r="I174" s="13">
        <f t="shared" si="2"/>
        <v>-1.4714059122296952E-2</v>
      </c>
    </row>
    <row r="175" spans="1:9" ht="22" x14ac:dyDescent="0.3">
      <c r="A175" s="8"/>
      <c r="B175" s="9" t="s">
        <v>484</v>
      </c>
      <c r="C175" s="10">
        <v>720.92</v>
      </c>
      <c r="D175" s="10">
        <v>8939399</v>
      </c>
      <c r="E175" s="10" t="s">
        <v>1149</v>
      </c>
      <c r="F175" s="10" t="s">
        <v>1150</v>
      </c>
      <c r="G175" s="10" t="s">
        <v>1151</v>
      </c>
      <c r="I175" s="13">
        <f t="shared" si="2"/>
        <v>4.7412893057217076E-3</v>
      </c>
    </row>
    <row r="176" spans="1:9" ht="22" x14ac:dyDescent="0.3">
      <c r="A176" s="8"/>
      <c r="B176" s="11">
        <v>45968</v>
      </c>
      <c r="C176" s="10">
        <v>717.51</v>
      </c>
      <c r="D176" s="10">
        <v>10873880</v>
      </c>
      <c r="E176" s="10" t="s">
        <v>1152</v>
      </c>
      <c r="F176" s="10" t="s">
        <v>1153</v>
      </c>
      <c r="G176" s="10" t="s">
        <v>1154</v>
      </c>
      <c r="I176" s="13">
        <f t="shared" si="2"/>
        <v>-1.3469662032188801E-2</v>
      </c>
    </row>
    <row r="177" spans="1:9" ht="22" x14ac:dyDescent="0.3">
      <c r="A177" s="8"/>
      <c r="B177" s="11">
        <v>45937</v>
      </c>
      <c r="C177" s="10">
        <v>727.24</v>
      </c>
      <c r="D177" s="10">
        <v>9922249</v>
      </c>
      <c r="E177" s="10" t="s">
        <v>1155</v>
      </c>
      <c r="F177" s="10" t="s">
        <v>1156</v>
      </c>
      <c r="G177" s="10" t="s">
        <v>1157</v>
      </c>
      <c r="I177" s="13">
        <f t="shared" si="2"/>
        <v>-7.5889735599803387E-3</v>
      </c>
    </row>
    <row r="178" spans="1:9" ht="22" x14ac:dyDescent="0.3">
      <c r="A178" s="8"/>
      <c r="B178" s="11">
        <v>45907</v>
      </c>
      <c r="C178" s="10">
        <v>732.78</v>
      </c>
      <c r="D178" s="10">
        <v>11417960</v>
      </c>
      <c r="E178" s="10" t="s">
        <v>1158</v>
      </c>
      <c r="F178" s="10" t="s">
        <v>1159</v>
      </c>
      <c r="G178" s="10" t="s">
        <v>1158</v>
      </c>
      <c r="I178" s="13">
        <f t="shared" si="2"/>
        <v>1.6664185543803889E-2</v>
      </c>
    </row>
    <row r="179" spans="1:9" ht="22" x14ac:dyDescent="0.3">
      <c r="A179" s="8"/>
      <c r="B179" s="11">
        <v>45876</v>
      </c>
      <c r="C179" s="10">
        <v>720.67</v>
      </c>
      <c r="D179" s="10">
        <v>7770693</v>
      </c>
      <c r="E179" s="10" t="s">
        <v>1160</v>
      </c>
      <c r="F179" s="10" t="s">
        <v>1161</v>
      </c>
      <c r="G179" s="10" t="s">
        <v>1162</v>
      </c>
      <c r="I179" s="13">
        <f t="shared" si="2"/>
        <v>3.2244194105199853E-3</v>
      </c>
    </row>
    <row r="180" spans="1:9" ht="22" x14ac:dyDescent="0.3">
      <c r="A180" s="8"/>
      <c r="B180" s="11">
        <v>45845</v>
      </c>
      <c r="C180" s="10">
        <v>718.35</v>
      </c>
      <c r="D180" s="10">
        <v>9457080</v>
      </c>
      <c r="E180" s="10" t="s">
        <v>1149</v>
      </c>
      <c r="F180" s="10" t="s">
        <v>1163</v>
      </c>
      <c r="G180" s="10" t="s">
        <v>1164</v>
      </c>
      <c r="I180" s="13">
        <f t="shared" si="2"/>
        <v>-9.1835037344178971E-4</v>
      </c>
    </row>
    <row r="181" spans="1:9" ht="22" x14ac:dyDescent="0.3">
      <c r="A181" s="8"/>
      <c r="B181" s="11">
        <v>45723</v>
      </c>
      <c r="C181" s="10">
        <v>719.01</v>
      </c>
      <c r="D181" s="10">
        <v>8601653</v>
      </c>
      <c r="E181" s="10" t="s">
        <v>1165</v>
      </c>
      <c r="F181" s="10" t="s">
        <v>1166</v>
      </c>
      <c r="G181" s="10" t="s">
        <v>1167</v>
      </c>
      <c r="I181" s="13">
        <f t="shared" si="2"/>
        <v>7.5947258068351786E-3</v>
      </c>
    </row>
    <row r="182" spans="1:9" ht="22" x14ac:dyDescent="0.3">
      <c r="A182" s="8"/>
      <c r="B182" s="11">
        <v>45695</v>
      </c>
      <c r="C182" s="10">
        <v>713.57</v>
      </c>
      <c r="D182" s="10">
        <v>9336740</v>
      </c>
      <c r="E182" s="10" t="s">
        <v>1168</v>
      </c>
      <c r="F182" s="10" t="s">
        <v>1169</v>
      </c>
      <c r="G182" s="10" t="s">
        <v>1170</v>
      </c>
      <c r="I182" s="13">
        <f t="shared" si="2"/>
        <v>-7.8867514237286329E-3</v>
      </c>
    </row>
    <row r="183" spans="1:9" ht="22" x14ac:dyDescent="0.3">
      <c r="A183" s="8"/>
      <c r="B183" s="11">
        <v>45664</v>
      </c>
      <c r="C183" s="10">
        <v>719.22</v>
      </c>
      <c r="D183" s="10">
        <v>13431250</v>
      </c>
      <c r="E183" s="10" t="s">
        <v>1171</v>
      </c>
      <c r="F183" s="10" t="s">
        <v>1172</v>
      </c>
      <c r="G183" s="10" t="s">
        <v>1173</v>
      </c>
      <c r="I183" s="13">
        <f t="shared" si="2"/>
        <v>-2.5898476937475934E-2</v>
      </c>
    </row>
    <row r="184" spans="1:9" ht="22" x14ac:dyDescent="0.3">
      <c r="A184" s="8"/>
      <c r="B184" s="9" t="s">
        <v>508</v>
      </c>
      <c r="C184" s="10">
        <v>738.09</v>
      </c>
      <c r="D184" s="10">
        <v>15402110</v>
      </c>
      <c r="E184" s="10" t="s">
        <v>1000</v>
      </c>
      <c r="F184" s="10" t="s">
        <v>1174</v>
      </c>
      <c r="G184" s="10" t="s">
        <v>1175</v>
      </c>
      <c r="I184" s="13">
        <f t="shared" si="2"/>
        <v>6.0609540581468835E-3</v>
      </c>
    </row>
    <row r="185" spans="1:9" ht="22" x14ac:dyDescent="0.3">
      <c r="A185" s="8"/>
      <c r="B185" s="9" t="s">
        <v>511</v>
      </c>
      <c r="C185" s="10">
        <v>733.63</v>
      </c>
      <c r="D185" s="10">
        <v>18775740</v>
      </c>
      <c r="E185" s="10" t="s">
        <v>1176</v>
      </c>
      <c r="F185" s="10" t="s">
        <v>1177</v>
      </c>
      <c r="G185" s="10" t="s">
        <v>1178</v>
      </c>
      <c r="I185" s="13">
        <f t="shared" si="2"/>
        <v>1.0330840242714245E-2</v>
      </c>
    </row>
    <row r="186" spans="1:9" ht="22" x14ac:dyDescent="0.3">
      <c r="A186" s="8"/>
      <c r="B186" s="9" t="s">
        <v>513</v>
      </c>
      <c r="C186" s="10">
        <v>726.09</v>
      </c>
      <c r="D186" s="10">
        <v>13964790</v>
      </c>
      <c r="E186" s="10" t="s">
        <v>1179</v>
      </c>
      <c r="F186" s="10" t="s">
        <v>1180</v>
      </c>
      <c r="G186" s="10" t="s">
        <v>1181</v>
      </c>
      <c r="I186" s="13">
        <f t="shared" si="2"/>
        <v>2.4269889351441698E-2</v>
      </c>
    </row>
    <row r="187" spans="1:9" ht="22" x14ac:dyDescent="0.3">
      <c r="A187" s="8"/>
      <c r="B187" s="9" t="s">
        <v>514</v>
      </c>
      <c r="C187" s="10">
        <v>708.68</v>
      </c>
      <c r="D187" s="10">
        <v>9320436</v>
      </c>
      <c r="E187" s="10" t="s">
        <v>1182</v>
      </c>
      <c r="F187" s="10" t="s">
        <v>1183</v>
      </c>
      <c r="G187" s="10" t="s">
        <v>1184</v>
      </c>
      <c r="I187" s="13">
        <f t="shared" si="2"/>
        <v>-4.95468611144112E-3</v>
      </c>
    </row>
    <row r="188" spans="1:9" ht="22" x14ac:dyDescent="0.3">
      <c r="A188" s="8"/>
      <c r="B188" s="9" t="s">
        <v>517</v>
      </c>
      <c r="C188" s="10">
        <v>712.2</v>
      </c>
      <c r="D188" s="10">
        <v>13823180</v>
      </c>
      <c r="E188" s="10" t="s">
        <v>1185</v>
      </c>
      <c r="F188" s="10" t="s">
        <v>1186</v>
      </c>
      <c r="G188" s="10" t="s">
        <v>1187</v>
      </c>
      <c r="I188" s="13">
        <f t="shared" si="2"/>
        <v>1.9380643892143112E-2</v>
      </c>
    </row>
    <row r="189" spans="1:9" ht="22" x14ac:dyDescent="0.3">
      <c r="A189" s="8"/>
      <c r="B189" s="9" t="s">
        <v>519</v>
      </c>
      <c r="C189" s="10">
        <v>698.53</v>
      </c>
      <c r="D189" s="10">
        <v>11080060</v>
      </c>
      <c r="E189" s="10" t="s">
        <v>1188</v>
      </c>
      <c r="F189" s="10" t="s">
        <v>1189</v>
      </c>
      <c r="G189" s="10" t="s">
        <v>1190</v>
      </c>
      <c r="I189" s="13">
        <f t="shared" si="2"/>
        <v>2.3435404267411641E-2</v>
      </c>
    </row>
    <row r="190" spans="1:9" ht="22" x14ac:dyDescent="0.3">
      <c r="A190" s="8"/>
      <c r="B190" s="9" t="s">
        <v>523</v>
      </c>
      <c r="C190" s="10">
        <v>682.35</v>
      </c>
      <c r="D190" s="10">
        <v>22538640</v>
      </c>
      <c r="E190" s="10" t="s">
        <v>1191</v>
      </c>
      <c r="F190" s="10" t="s">
        <v>1192</v>
      </c>
      <c r="G190" s="10" t="s">
        <v>1193</v>
      </c>
      <c r="I190" s="13">
        <f t="shared" si="2"/>
        <v>-1.947642326631982E-2</v>
      </c>
    </row>
    <row r="191" spans="1:9" ht="22" x14ac:dyDescent="0.3">
      <c r="A191" s="8"/>
      <c r="B191" s="9" t="s">
        <v>525</v>
      </c>
      <c r="C191" s="10">
        <v>695.77</v>
      </c>
      <c r="D191" s="10">
        <v>10068260</v>
      </c>
      <c r="E191" s="10" t="s">
        <v>1194</v>
      </c>
      <c r="F191" s="10" t="s">
        <v>1195</v>
      </c>
      <c r="G191" s="10" t="s">
        <v>1196</v>
      </c>
      <c r="I191" s="13">
        <f t="shared" si="2"/>
        <v>-2.0961960295879933E-3</v>
      </c>
    </row>
    <row r="192" spans="1:9" ht="22" x14ac:dyDescent="0.3">
      <c r="A192" s="8"/>
      <c r="B192" s="9" t="s">
        <v>527</v>
      </c>
      <c r="C192" s="10">
        <v>697.23</v>
      </c>
      <c r="D192" s="10">
        <v>10066110</v>
      </c>
      <c r="E192" s="10" t="s">
        <v>1197</v>
      </c>
      <c r="F192" s="10" t="s">
        <v>1198</v>
      </c>
      <c r="G192" s="10" t="s">
        <v>1199</v>
      </c>
      <c r="I192" s="13">
        <f t="shared" si="2"/>
        <v>-6.9889876081141722E-3</v>
      </c>
    </row>
    <row r="193" spans="1:9" ht="22" x14ac:dyDescent="0.3">
      <c r="A193" s="8"/>
      <c r="B193" s="9" t="s">
        <v>529</v>
      </c>
      <c r="C193" s="10">
        <v>702.12</v>
      </c>
      <c r="D193" s="10">
        <v>13720290</v>
      </c>
      <c r="E193" s="10" t="s">
        <v>961</v>
      </c>
      <c r="F193" s="10" t="s">
        <v>1200</v>
      </c>
      <c r="G193" s="10" t="s">
        <v>1201</v>
      </c>
      <c r="I193" s="13">
        <f t="shared" si="2"/>
        <v>2.7799824883326885E-2</v>
      </c>
    </row>
    <row r="194" spans="1:9" ht="22" x14ac:dyDescent="0.3">
      <c r="A194" s="8"/>
      <c r="B194" s="9" t="s">
        <v>532</v>
      </c>
      <c r="C194" s="10">
        <v>682.87</v>
      </c>
      <c r="D194" s="10">
        <v>9274441</v>
      </c>
      <c r="E194" s="10" t="s">
        <v>1202</v>
      </c>
      <c r="F194" s="10" t="s">
        <v>1203</v>
      </c>
      <c r="G194" s="10" t="s">
        <v>1204</v>
      </c>
      <c r="I194" s="13">
        <f t="shared" si="2"/>
        <v>-1.5244840121271253E-2</v>
      </c>
    </row>
    <row r="195" spans="1:9" ht="22" x14ac:dyDescent="0.3">
      <c r="A195" s="8"/>
      <c r="B195" s="11">
        <v>45997</v>
      </c>
      <c r="C195" s="10">
        <v>693.36</v>
      </c>
      <c r="D195" s="10">
        <v>7322730</v>
      </c>
      <c r="E195" s="10" t="s">
        <v>1205</v>
      </c>
      <c r="F195" s="10" t="s">
        <v>1206</v>
      </c>
      <c r="G195" s="10" t="s">
        <v>1207</v>
      </c>
      <c r="I195" s="13">
        <f t="shared" si="2"/>
        <v>-1.1243244427632249E-3</v>
      </c>
    </row>
    <row r="196" spans="1:9" ht="22" x14ac:dyDescent="0.3">
      <c r="A196" s="8"/>
      <c r="B196" s="11">
        <v>45967</v>
      </c>
      <c r="C196" s="10">
        <v>694.14</v>
      </c>
      <c r="D196" s="10">
        <v>9582508</v>
      </c>
      <c r="E196" s="10" t="s">
        <v>1208</v>
      </c>
      <c r="F196" s="10" t="s">
        <v>1209</v>
      </c>
      <c r="G196" s="10" t="s">
        <v>1210</v>
      </c>
      <c r="I196" s="13">
        <f t="shared" ref="I196:I253" si="3">LN(C196)-LN(C197)</f>
        <v>-1.182937305205467E-2</v>
      </c>
    </row>
    <row r="197" spans="1:9" ht="22" x14ac:dyDescent="0.3">
      <c r="A197" s="8"/>
      <c r="B197" s="11">
        <v>45936</v>
      </c>
      <c r="C197" s="10">
        <v>702.4</v>
      </c>
      <c r="D197" s="10">
        <v>10850150</v>
      </c>
      <c r="E197" s="10" t="s">
        <v>1211</v>
      </c>
      <c r="F197" s="10" t="s">
        <v>1212</v>
      </c>
      <c r="G197" s="10" t="s">
        <v>1213</v>
      </c>
      <c r="I197" s="13">
        <f t="shared" si="3"/>
        <v>1.1944630219737462E-2</v>
      </c>
    </row>
    <row r="198" spans="1:9" ht="22" x14ac:dyDescent="0.3">
      <c r="A198" s="8"/>
      <c r="B198" s="11">
        <v>45906</v>
      </c>
      <c r="C198" s="10">
        <v>694.06</v>
      </c>
      <c r="D198" s="10">
        <v>12773220</v>
      </c>
      <c r="E198" s="10" t="s">
        <v>1214</v>
      </c>
      <c r="F198" s="10" t="s">
        <v>1215</v>
      </c>
      <c r="G198" s="10" t="s">
        <v>1216</v>
      </c>
      <c r="I198" s="13">
        <f t="shared" si="3"/>
        <v>-5.2451315491044426E-3</v>
      </c>
    </row>
    <row r="199" spans="1:9" ht="22" x14ac:dyDescent="0.3">
      <c r="A199" s="8"/>
      <c r="B199" s="11">
        <v>45814</v>
      </c>
      <c r="C199" s="10">
        <v>697.71</v>
      </c>
      <c r="D199" s="10">
        <v>11727960</v>
      </c>
      <c r="E199" s="10" t="s">
        <v>1217</v>
      </c>
      <c r="F199" s="10" t="s">
        <v>1218</v>
      </c>
      <c r="G199" s="10" t="s">
        <v>1219</v>
      </c>
      <c r="I199" s="13">
        <f t="shared" si="3"/>
        <v>1.8939603841269914E-2</v>
      </c>
    </row>
    <row r="200" spans="1:9" ht="22" x14ac:dyDescent="0.3">
      <c r="A200" s="8"/>
      <c r="B200" s="11">
        <v>45783</v>
      </c>
      <c r="C200" s="10">
        <v>684.62</v>
      </c>
      <c r="D200" s="10">
        <v>13120340</v>
      </c>
      <c r="E200" s="10" t="s">
        <v>1220</v>
      </c>
      <c r="F200" s="10" t="s">
        <v>1221</v>
      </c>
      <c r="G200" s="10" t="s">
        <v>1222</v>
      </c>
      <c r="I200" s="13">
        <f t="shared" si="3"/>
        <v>-4.8522210648211939E-3</v>
      </c>
    </row>
    <row r="201" spans="1:9" ht="22" x14ac:dyDescent="0.3">
      <c r="A201" s="8"/>
      <c r="B201" s="11">
        <v>45753</v>
      </c>
      <c r="C201" s="10">
        <v>687.95</v>
      </c>
      <c r="D201" s="10">
        <v>14031930</v>
      </c>
      <c r="E201" s="10" t="s">
        <v>1223</v>
      </c>
      <c r="F201" s="10" t="s">
        <v>1224</v>
      </c>
      <c r="G201" s="10" t="s">
        <v>1225</v>
      </c>
      <c r="I201" s="13">
        <f t="shared" si="3"/>
        <v>3.115102780542145E-2</v>
      </c>
    </row>
    <row r="202" spans="1:9" ht="22" x14ac:dyDescent="0.3">
      <c r="A202" s="8"/>
      <c r="B202" s="11">
        <v>45722</v>
      </c>
      <c r="C202" s="10">
        <v>666.85</v>
      </c>
      <c r="D202" s="10">
        <v>11585030</v>
      </c>
      <c r="E202" s="10" t="s">
        <v>1226</v>
      </c>
      <c r="F202" s="10" t="s">
        <v>1227</v>
      </c>
      <c r="G202" s="10" t="s">
        <v>1228</v>
      </c>
      <c r="I202" s="13">
        <f t="shared" si="3"/>
        <v>-6.0549615004381607E-3</v>
      </c>
    </row>
    <row r="203" spans="1:9" ht="22" x14ac:dyDescent="0.3">
      <c r="A203" s="8"/>
      <c r="B203" s="11">
        <v>45694</v>
      </c>
      <c r="C203" s="10">
        <v>670.9</v>
      </c>
      <c r="D203" s="10">
        <v>15766260</v>
      </c>
      <c r="E203" s="10" t="s">
        <v>1229</v>
      </c>
      <c r="F203" s="10" t="s">
        <v>1230</v>
      </c>
      <c r="G203" s="10" t="s">
        <v>1231</v>
      </c>
      <c r="I203" s="13">
        <f t="shared" si="3"/>
        <v>3.5516745129853255E-2</v>
      </c>
    </row>
    <row r="204" spans="1:9" ht="22" x14ac:dyDescent="0.3">
      <c r="A204" s="8"/>
      <c r="B204" s="9" t="s">
        <v>553</v>
      </c>
      <c r="C204" s="10">
        <v>647.49</v>
      </c>
      <c r="D204" s="10">
        <v>16240950</v>
      </c>
      <c r="E204" s="10" t="s">
        <v>1232</v>
      </c>
      <c r="F204" s="10" t="s">
        <v>1233</v>
      </c>
      <c r="G204" s="10" t="s">
        <v>1234</v>
      </c>
      <c r="I204" s="13">
        <f t="shared" si="3"/>
        <v>3.7755162678436704E-3</v>
      </c>
    </row>
    <row r="205" spans="1:9" ht="22" x14ac:dyDescent="0.3">
      <c r="A205" s="8"/>
      <c r="B205" s="9" t="s">
        <v>554</v>
      </c>
      <c r="C205" s="10">
        <v>645.04999999999995</v>
      </c>
      <c r="D205" s="10">
        <v>8883436</v>
      </c>
      <c r="E205" s="10" t="s">
        <v>1235</v>
      </c>
      <c r="F205" s="10" t="s">
        <v>1236</v>
      </c>
      <c r="G205" s="10" t="s">
        <v>1237</v>
      </c>
      <c r="I205" s="13">
        <f t="shared" si="3"/>
        <v>2.2814937377502176E-3</v>
      </c>
    </row>
    <row r="206" spans="1:9" ht="22" x14ac:dyDescent="0.3">
      <c r="A206" s="8"/>
      <c r="B206" s="9" t="s">
        <v>556</v>
      </c>
      <c r="C206" s="10">
        <v>643.58000000000004</v>
      </c>
      <c r="D206" s="10">
        <v>9042874</v>
      </c>
      <c r="E206" s="10" t="s">
        <v>711</v>
      </c>
      <c r="F206" s="10" t="s">
        <v>1238</v>
      </c>
      <c r="G206" s="10" t="s">
        <v>1239</v>
      </c>
      <c r="I206" s="13">
        <f t="shared" si="3"/>
        <v>1.9597175569661118E-3</v>
      </c>
    </row>
    <row r="207" spans="1:9" ht="22" x14ac:dyDescent="0.3">
      <c r="A207" s="8"/>
      <c r="B207" s="9" t="s">
        <v>559</v>
      </c>
      <c r="C207" s="10">
        <v>642.32000000000005</v>
      </c>
      <c r="D207" s="10">
        <v>9508367</v>
      </c>
      <c r="E207" s="10" t="s">
        <v>1240</v>
      </c>
      <c r="F207" s="10" t="s">
        <v>1241</v>
      </c>
      <c r="G207" s="10" t="s">
        <v>1242</v>
      </c>
      <c r="I207" s="13">
        <f t="shared" si="3"/>
        <v>2.4044392041961515E-2</v>
      </c>
    </row>
    <row r="208" spans="1:9" ht="22" x14ac:dyDescent="0.3">
      <c r="A208" s="8"/>
      <c r="B208" s="9" t="s">
        <v>561</v>
      </c>
      <c r="C208" s="10">
        <v>627.05999999999995</v>
      </c>
      <c r="D208" s="10">
        <v>8454067</v>
      </c>
      <c r="E208" s="10" t="s">
        <v>870</v>
      </c>
      <c r="F208" s="10" t="s">
        <v>1243</v>
      </c>
      <c r="G208" s="10" t="s">
        <v>648</v>
      </c>
      <c r="I208" s="13">
        <f t="shared" si="3"/>
        <v>-1.5052158549650585E-2</v>
      </c>
    </row>
    <row r="209" spans="1:9" ht="22" x14ac:dyDescent="0.3">
      <c r="A209" s="8"/>
      <c r="B209" s="9" t="s">
        <v>562</v>
      </c>
      <c r="C209" s="10">
        <v>636.57000000000005</v>
      </c>
      <c r="D209" s="10">
        <v>8228443</v>
      </c>
      <c r="E209" s="10" t="s">
        <v>1244</v>
      </c>
      <c r="F209" s="10" t="s">
        <v>1245</v>
      </c>
      <c r="G209" s="10" t="s">
        <v>1246</v>
      </c>
      <c r="I209" s="13">
        <f t="shared" si="3"/>
        <v>1.6822977546091522E-3</v>
      </c>
    </row>
    <row r="210" spans="1:9" ht="22" x14ac:dyDescent="0.3">
      <c r="A210" s="8"/>
      <c r="B210" s="9" t="s">
        <v>563</v>
      </c>
      <c r="C210" s="10">
        <v>635.5</v>
      </c>
      <c r="D210" s="10">
        <v>11464570</v>
      </c>
      <c r="E210" s="10" t="s">
        <v>1247</v>
      </c>
      <c r="F210" s="10" t="s">
        <v>1248</v>
      </c>
      <c r="G210" s="10" t="s">
        <v>1249</v>
      </c>
      <c r="I210" s="13">
        <f t="shared" si="3"/>
        <v>-2.5145384929334824E-3</v>
      </c>
    </row>
    <row r="211" spans="1:9" ht="22" x14ac:dyDescent="0.3">
      <c r="A211" s="8"/>
      <c r="B211" s="9" t="s">
        <v>566</v>
      </c>
      <c r="C211" s="10">
        <v>637.1</v>
      </c>
      <c r="D211" s="10">
        <v>6743473</v>
      </c>
      <c r="E211" s="10" t="s">
        <v>1250</v>
      </c>
      <c r="F211" s="10" t="s">
        <v>1251</v>
      </c>
      <c r="G211" s="10" t="s">
        <v>1252</v>
      </c>
      <c r="I211" s="13">
        <f t="shared" si="3"/>
        <v>-5.21319662431452E-3</v>
      </c>
    </row>
    <row r="212" spans="1:9" ht="22" x14ac:dyDescent="0.3">
      <c r="A212" s="8"/>
      <c r="B212" s="9" t="s">
        <v>567</v>
      </c>
      <c r="C212" s="10">
        <v>640.42999999999995</v>
      </c>
      <c r="D212" s="10">
        <v>9592374</v>
      </c>
      <c r="E212" s="10" t="s">
        <v>1253</v>
      </c>
      <c r="F212" s="10" t="s">
        <v>1254</v>
      </c>
      <c r="G212" s="10" t="s">
        <v>1255</v>
      </c>
      <c r="I212" s="13">
        <f t="shared" si="3"/>
        <v>1.4054045636235912E-4</v>
      </c>
    </row>
    <row r="213" spans="1:9" ht="22" x14ac:dyDescent="0.3">
      <c r="A213" s="8"/>
      <c r="B213" s="9" t="s">
        <v>568</v>
      </c>
      <c r="C213" s="10">
        <v>640.34</v>
      </c>
      <c r="D213" s="10">
        <v>18518970</v>
      </c>
      <c r="E213" s="10" t="s">
        <v>1256</v>
      </c>
      <c r="F213" s="10" t="s">
        <v>1257</v>
      </c>
      <c r="G213" s="10" t="s">
        <v>1258</v>
      </c>
      <c r="I213" s="13">
        <f t="shared" si="3"/>
        <v>-5.5130880476346178E-3</v>
      </c>
    </row>
    <row r="214" spans="1:9" ht="22" x14ac:dyDescent="0.3">
      <c r="A214" s="8"/>
      <c r="B214" s="9" t="s">
        <v>569</v>
      </c>
      <c r="C214" s="10">
        <v>643.88</v>
      </c>
      <c r="D214" s="10">
        <v>14341840</v>
      </c>
      <c r="E214" s="10" t="s">
        <v>1259</v>
      </c>
      <c r="F214" s="10" t="s">
        <v>1260</v>
      </c>
      <c r="G214" s="10" t="s">
        <v>1261</v>
      </c>
      <c r="I214" s="13">
        <f t="shared" si="3"/>
        <v>-2.3757294252478189E-2</v>
      </c>
    </row>
    <row r="215" spans="1:9" ht="22" x14ac:dyDescent="0.3">
      <c r="A215" s="8"/>
      <c r="B215" s="9" t="s">
        <v>571</v>
      </c>
      <c r="C215" s="10">
        <v>659.36</v>
      </c>
      <c r="D215" s="10">
        <v>12348180</v>
      </c>
      <c r="E215" s="10" t="s">
        <v>1262</v>
      </c>
      <c r="F215" s="10" t="s">
        <v>1263</v>
      </c>
      <c r="G215" s="10" t="s">
        <v>1264</v>
      </c>
      <c r="I215" s="13">
        <f t="shared" si="3"/>
        <v>5.0631479847638161E-3</v>
      </c>
    </row>
    <row r="216" spans="1:9" ht="22" x14ac:dyDescent="0.3">
      <c r="A216" s="8"/>
      <c r="B216" s="9" t="s">
        <v>573</v>
      </c>
      <c r="C216" s="10">
        <v>656.03</v>
      </c>
      <c r="D216" s="10">
        <v>18570820</v>
      </c>
      <c r="E216" s="10" t="s">
        <v>1265</v>
      </c>
      <c r="F216" s="10" t="s">
        <v>1266</v>
      </c>
      <c r="G216" s="10" t="s">
        <v>1267</v>
      </c>
      <c r="I216" s="13">
        <f t="shared" si="3"/>
        <v>2.562936509411351E-2</v>
      </c>
    </row>
    <row r="217" spans="1:9" ht="22" x14ac:dyDescent="0.3">
      <c r="A217" s="8"/>
      <c r="B217" s="11">
        <v>45996</v>
      </c>
      <c r="C217" s="10">
        <v>639.42999999999995</v>
      </c>
      <c r="D217" s="10">
        <v>21965090</v>
      </c>
      <c r="E217" s="10" t="s">
        <v>1268</v>
      </c>
      <c r="F217" s="10" t="s">
        <v>1269</v>
      </c>
      <c r="G217" s="10" t="s">
        <v>1270</v>
      </c>
      <c r="I217" s="13">
        <f t="shared" si="3"/>
        <v>7.6243159281903061E-2</v>
      </c>
    </row>
    <row r="218" spans="1:9" ht="22" x14ac:dyDescent="0.3">
      <c r="A218" s="8"/>
      <c r="B218" s="11">
        <v>45905</v>
      </c>
      <c r="C218" s="10">
        <v>592.49</v>
      </c>
      <c r="D218" s="10">
        <v>10427290</v>
      </c>
      <c r="E218" s="10" t="s">
        <v>1271</v>
      </c>
      <c r="F218" s="10" t="s">
        <v>1272</v>
      </c>
      <c r="G218" s="10" t="s">
        <v>1273</v>
      </c>
      <c r="I218" s="13">
        <f t="shared" si="3"/>
        <v>-9.273480989113736E-3</v>
      </c>
    </row>
    <row r="219" spans="1:9" ht="22" x14ac:dyDescent="0.3">
      <c r="A219" s="8"/>
      <c r="B219" s="11">
        <v>45874</v>
      </c>
      <c r="C219" s="10">
        <v>598.01</v>
      </c>
      <c r="D219" s="10">
        <v>14622810</v>
      </c>
      <c r="E219" s="10" t="s">
        <v>1274</v>
      </c>
      <c r="F219" s="10" t="s">
        <v>1275</v>
      </c>
      <c r="G219" s="10" t="s">
        <v>1276</v>
      </c>
      <c r="I219" s="13">
        <f t="shared" si="3"/>
        <v>2.0086714374984993E-3</v>
      </c>
    </row>
    <row r="220" spans="1:9" ht="22" x14ac:dyDescent="0.3">
      <c r="A220" s="8"/>
      <c r="B220" s="11">
        <v>45843</v>
      </c>
      <c r="C220" s="10">
        <v>596.80999999999995</v>
      </c>
      <c r="D220" s="10">
        <v>13160980</v>
      </c>
      <c r="E220" s="10" t="s">
        <v>1277</v>
      </c>
      <c r="F220" s="10" t="s">
        <v>1278</v>
      </c>
      <c r="G220" s="10" t="s">
        <v>1279</v>
      </c>
      <c r="I220" s="13">
        <f t="shared" si="3"/>
        <v>1.6046015324781671E-2</v>
      </c>
    </row>
    <row r="221" spans="1:9" ht="22" x14ac:dyDescent="0.3">
      <c r="A221" s="8"/>
      <c r="B221" s="11">
        <v>45813</v>
      </c>
      <c r="C221" s="10">
        <v>587.30999999999995</v>
      </c>
      <c r="D221" s="10">
        <v>10600650</v>
      </c>
      <c r="E221" s="10" t="s">
        <v>1280</v>
      </c>
      <c r="F221" s="10" t="s">
        <v>1281</v>
      </c>
      <c r="G221" s="10" t="s">
        <v>1282</v>
      </c>
      <c r="I221" s="13">
        <f t="shared" si="3"/>
        <v>-2.0159458353147031E-2</v>
      </c>
    </row>
    <row r="222" spans="1:9" ht="22" x14ac:dyDescent="0.3">
      <c r="A222" s="8"/>
      <c r="B222" s="11">
        <v>45782</v>
      </c>
      <c r="C222" s="10">
        <v>599.27</v>
      </c>
      <c r="D222" s="10">
        <v>13887720</v>
      </c>
      <c r="E222" s="10" t="s">
        <v>1283</v>
      </c>
      <c r="F222" s="10" t="s">
        <v>1284</v>
      </c>
      <c r="G222" s="10" t="s">
        <v>1285</v>
      </c>
      <c r="I222" s="13">
        <f t="shared" si="3"/>
        <v>3.7616341407247234E-3</v>
      </c>
    </row>
    <row r="223" spans="1:9" ht="22" x14ac:dyDescent="0.3">
      <c r="A223" s="8"/>
      <c r="B223" s="11">
        <v>45693</v>
      </c>
      <c r="C223" s="10">
        <v>597.02</v>
      </c>
      <c r="D223" s="10">
        <v>24739260</v>
      </c>
      <c r="E223" s="10" t="s">
        <v>1286</v>
      </c>
      <c r="F223" s="10" t="s">
        <v>1287</v>
      </c>
      <c r="G223" s="10" t="s">
        <v>1288</v>
      </c>
      <c r="I223" s="13">
        <f t="shared" si="3"/>
        <v>4.2444556798832522E-2</v>
      </c>
    </row>
    <row r="224" spans="1:9" ht="22" x14ac:dyDescent="0.3">
      <c r="A224" s="8"/>
      <c r="B224" s="11">
        <v>45662</v>
      </c>
      <c r="C224" s="10">
        <v>572.21</v>
      </c>
      <c r="D224" s="10">
        <v>31159030</v>
      </c>
      <c r="E224" s="10" t="s">
        <v>1289</v>
      </c>
      <c r="F224" s="10" t="s">
        <v>1290</v>
      </c>
      <c r="G224" s="10" t="s">
        <v>1291</v>
      </c>
      <c r="I224" s="13">
        <f t="shared" si="3"/>
        <v>4.1407615360619765E-2</v>
      </c>
    </row>
    <row r="225" spans="1:9" ht="22" x14ac:dyDescent="0.3">
      <c r="A225" s="8"/>
      <c r="B225" s="9" t="s">
        <v>586</v>
      </c>
      <c r="C225" s="10">
        <v>549</v>
      </c>
      <c r="D225" s="10">
        <v>29243970</v>
      </c>
      <c r="E225" s="10" t="s">
        <v>1292</v>
      </c>
      <c r="F225" s="10" t="s">
        <v>1293</v>
      </c>
      <c r="G225" s="10" t="s">
        <v>1294</v>
      </c>
      <c r="I225" s="13">
        <f t="shared" si="3"/>
        <v>-9.8601538356222207E-3</v>
      </c>
    </row>
    <row r="226" spans="1:9" ht="22" x14ac:dyDescent="0.3">
      <c r="A226" s="8"/>
      <c r="B226" s="9" t="s">
        <v>587</v>
      </c>
      <c r="C226" s="10">
        <v>554.44000000000005</v>
      </c>
      <c r="D226" s="10">
        <v>11835040</v>
      </c>
      <c r="E226" s="10" t="s">
        <v>1295</v>
      </c>
      <c r="F226" s="10" t="s">
        <v>1296</v>
      </c>
      <c r="G226" s="10" t="s">
        <v>1297</v>
      </c>
      <c r="I226" s="13">
        <f t="shared" si="3"/>
        <v>8.5131561621265561E-3</v>
      </c>
    </row>
    <row r="227" spans="1:9" ht="22" x14ac:dyDescent="0.3">
      <c r="A227" s="8"/>
      <c r="B227" s="9" t="s">
        <v>589</v>
      </c>
      <c r="C227" s="10">
        <v>549.74</v>
      </c>
      <c r="D227" s="10">
        <v>15179000</v>
      </c>
      <c r="E227" s="10" t="s">
        <v>1298</v>
      </c>
      <c r="F227" s="10" t="s">
        <v>1299</v>
      </c>
      <c r="G227" s="10" t="s">
        <v>1300</v>
      </c>
      <c r="I227" s="13">
        <f t="shared" si="3"/>
        <v>4.5031570796512099E-3</v>
      </c>
    </row>
    <row r="228" spans="1:9" ht="22" x14ac:dyDescent="0.3">
      <c r="A228" s="8"/>
      <c r="B228" s="9" t="s">
        <v>590</v>
      </c>
      <c r="C228" s="10">
        <v>547.27</v>
      </c>
      <c r="D228" s="10">
        <v>17098920</v>
      </c>
      <c r="E228" s="10" t="s">
        <v>1301</v>
      </c>
      <c r="F228" s="10" t="s">
        <v>1302</v>
      </c>
      <c r="G228" s="10" t="s">
        <v>1303</v>
      </c>
      <c r="I228" s="13">
        <f t="shared" si="3"/>
        <v>2.6139471639186063E-2</v>
      </c>
    </row>
    <row r="229" spans="1:9" ht="22" x14ac:dyDescent="0.3">
      <c r="A229" s="8"/>
      <c r="B229" s="9" t="s">
        <v>591</v>
      </c>
      <c r="C229" s="10">
        <v>533.15</v>
      </c>
      <c r="D229" s="10">
        <v>13910010</v>
      </c>
      <c r="E229" s="10" t="s">
        <v>1304</v>
      </c>
      <c r="F229" s="10" t="s">
        <v>1305</v>
      </c>
      <c r="G229" s="10" t="s">
        <v>1306</v>
      </c>
      <c r="I229" s="13">
        <f t="shared" si="3"/>
        <v>2.4454902873137563E-2</v>
      </c>
    </row>
    <row r="230" spans="1:9" ht="22" x14ac:dyDescent="0.3">
      <c r="A230" s="8"/>
      <c r="B230" s="9" t="s">
        <v>592</v>
      </c>
      <c r="C230" s="10">
        <v>520.27</v>
      </c>
      <c r="D230" s="10">
        <v>18173910</v>
      </c>
      <c r="E230" s="10" t="s">
        <v>1307</v>
      </c>
      <c r="F230" s="10" t="s">
        <v>1308</v>
      </c>
      <c r="G230" s="10" t="s">
        <v>1309</v>
      </c>
      <c r="I230" s="13">
        <f t="shared" si="3"/>
        <v>3.9179965910345338E-2</v>
      </c>
    </row>
    <row r="231" spans="1:9" ht="22" x14ac:dyDescent="0.3">
      <c r="A231" s="8"/>
      <c r="B231" s="9" t="s">
        <v>593</v>
      </c>
      <c r="C231" s="10">
        <v>500.28</v>
      </c>
      <c r="D231" s="10">
        <v>17399410</v>
      </c>
      <c r="E231" s="10" t="s">
        <v>1310</v>
      </c>
      <c r="F231" s="10" t="s">
        <v>1311</v>
      </c>
      <c r="G231" s="10" t="s">
        <v>1312</v>
      </c>
      <c r="I231" s="13">
        <f t="shared" si="3"/>
        <v>3.1720327508137913E-2</v>
      </c>
    </row>
    <row r="232" spans="1:9" ht="22" x14ac:dyDescent="0.3">
      <c r="A232" s="8"/>
      <c r="B232" s="9" t="s">
        <v>594</v>
      </c>
      <c r="C232" s="10">
        <v>484.66</v>
      </c>
      <c r="D232" s="10">
        <v>16165980</v>
      </c>
      <c r="E232" s="10" t="s">
        <v>1313</v>
      </c>
      <c r="F232" s="10" t="s">
        <v>1314</v>
      </c>
      <c r="G232" s="10" t="s">
        <v>1315</v>
      </c>
      <c r="I232" s="13">
        <f t="shared" si="3"/>
        <v>-3.4116112075256666E-2</v>
      </c>
    </row>
    <row r="233" spans="1:9" ht="22" x14ac:dyDescent="0.3">
      <c r="A233" s="8"/>
      <c r="B233" s="9" t="s">
        <v>595</v>
      </c>
      <c r="C233" s="10">
        <v>501.48</v>
      </c>
      <c r="D233" s="10">
        <v>14593510</v>
      </c>
      <c r="E233" s="10" t="s">
        <v>1316</v>
      </c>
      <c r="F233" s="10" t="s">
        <v>1317</v>
      </c>
      <c r="G233" s="10" t="s">
        <v>1318</v>
      </c>
      <c r="I233" s="13">
        <f t="shared" si="3"/>
        <v>-1.6537327312668992E-3</v>
      </c>
    </row>
    <row r="234" spans="1:9" ht="22" x14ac:dyDescent="0.3">
      <c r="A234" s="8"/>
      <c r="B234" s="9" t="s">
        <v>596</v>
      </c>
      <c r="C234" s="10">
        <v>502.31</v>
      </c>
      <c r="D234" s="10">
        <v>18735080</v>
      </c>
      <c r="E234" s="10" t="s">
        <v>1319</v>
      </c>
      <c r="F234" s="10" t="s">
        <v>1320</v>
      </c>
      <c r="G234" s="10" t="s">
        <v>1321</v>
      </c>
      <c r="I234" s="13">
        <f t="shared" si="3"/>
        <v>-3.7530165637192248E-2</v>
      </c>
    </row>
    <row r="235" spans="1:9" ht="22" x14ac:dyDescent="0.3">
      <c r="A235" s="8"/>
      <c r="B235" s="9" t="s">
        <v>597</v>
      </c>
      <c r="C235" s="10">
        <v>521.52</v>
      </c>
      <c r="D235" s="10">
        <v>15558660</v>
      </c>
      <c r="E235" s="10" t="s">
        <v>1322</v>
      </c>
      <c r="F235" s="10" t="s">
        <v>1323</v>
      </c>
      <c r="G235" s="10" t="s">
        <v>1306</v>
      </c>
      <c r="I235" s="13">
        <f t="shared" si="3"/>
        <v>-1.8917943106822932E-2</v>
      </c>
    </row>
    <row r="236" spans="1:9" ht="22" x14ac:dyDescent="0.3">
      <c r="A236" s="8"/>
      <c r="B236" s="9" t="s">
        <v>599</v>
      </c>
      <c r="C236" s="10">
        <v>531.48</v>
      </c>
      <c r="D236" s="10">
        <v>14130930</v>
      </c>
      <c r="E236" s="10" t="s">
        <v>1324</v>
      </c>
      <c r="F236" s="10" t="s">
        <v>1325</v>
      </c>
      <c r="G236" s="10" t="s">
        <v>1326</v>
      </c>
      <c r="I236" s="13">
        <f t="shared" si="3"/>
        <v>-2.2492925393018837E-2</v>
      </c>
    </row>
    <row r="237" spans="1:9" ht="22" x14ac:dyDescent="0.3">
      <c r="A237" s="8"/>
      <c r="B237" s="11">
        <v>45965</v>
      </c>
      <c r="C237" s="10">
        <v>543.57000000000005</v>
      </c>
      <c r="D237" s="10">
        <v>17642330</v>
      </c>
      <c r="E237" s="10" t="s">
        <v>1327</v>
      </c>
      <c r="F237" s="10" t="s">
        <v>1328</v>
      </c>
      <c r="G237" s="10" t="s">
        <v>1329</v>
      </c>
      <c r="I237" s="13">
        <f t="shared" si="3"/>
        <v>-4.9914771573638106E-3</v>
      </c>
    </row>
    <row r="238" spans="1:9" ht="22" x14ac:dyDescent="0.3">
      <c r="A238" s="8"/>
      <c r="B238" s="11">
        <v>45934</v>
      </c>
      <c r="C238" s="10">
        <v>546.29</v>
      </c>
      <c r="D238" s="10">
        <v>28173490</v>
      </c>
      <c r="E238" s="10" t="s">
        <v>1330</v>
      </c>
      <c r="F238" s="10" t="s">
        <v>1331</v>
      </c>
      <c r="G238" s="10" t="s">
        <v>1332</v>
      </c>
      <c r="I238" s="13">
        <f t="shared" si="3"/>
        <v>-6.9777250791010381E-2</v>
      </c>
    </row>
    <row r="239" spans="1:9" ht="22" x14ac:dyDescent="0.3">
      <c r="A239" s="8"/>
      <c r="B239" s="11">
        <v>45904</v>
      </c>
      <c r="C239" s="10">
        <v>585.77</v>
      </c>
      <c r="D239" s="10">
        <v>39216580</v>
      </c>
      <c r="E239" s="10" t="s">
        <v>1333</v>
      </c>
      <c r="F239" s="10" t="s">
        <v>1334</v>
      </c>
      <c r="G239" s="10" t="s">
        <v>1335</v>
      </c>
      <c r="I239" s="13">
        <f t="shared" si="3"/>
        <v>0.13763453144947579</v>
      </c>
    </row>
    <row r="240" spans="1:9" ht="22" x14ac:dyDescent="0.3">
      <c r="A240" s="8"/>
      <c r="B240" s="11">
        <v>45873</v>
      </c>
      <c r="C240" s="10">
        <v>510.45</v>
      </c>
      <c r="D240" s="10">
        <v>28034210</v>
      </c>
      <c r="E240" s="10" t="s">
        <v>1336</v>
      </c>
      <c r="F240" s="10" t="s">
        <v>1337</v>
      </c>
      <c r="G240" s="10" t="s">
        <v>1338</v>
      </c>
      <c r="I240" s="13">
        <f t="shared" si="3"/>
        <v>-1.1298454660218837E-2</v>
      </c>
    </row>
    <row r="241" spans="1:9" ht="22" x14ac:dyDescent="0.3">
      <c r="A241" s="8"/>
      <c r="B241" s="11">
        <v>45842</v>
      </c>
      <c r="C241" s="10">
        <v>516.25</v>
      </c>
      <c r="D241" s="10">
        <v>36606140</v>
      </c>
      <c r="E241" s="10" t="s">
        <v>1339</v>
      </c>
      <c r="F241" s="10" t="s">
        <v>1340</v>
      </c>
      <c r="G241" s="10" t="s">
        <v>1341</v>
      </c>
      <c r="I241" s="13">
        <f t="shared" si="3"/>
        <v>2.2567511443358335E-2</v>
      </c>
    </row>
    <row r="242" spans="1:9" ht="22" x14ac:dyDescent="0.3">
      <c r="A242" s="8"/>
      <c r="B242" s="11">
        <v>45751</v>
      </c>
      <c r="C242" s="10">
        <v>504.73</v>
      </c>
      <c r="D242" s="10">
        <v>38589810</v>
      </c>
      <c r="E242" s="10" t="s">
        <v>1342</v>
      </c>
      <c r="F242" s="10" t="s">
        <v>1343</v>
      </c>
      <c r="G242" s="10" t="s">
        <v>1344</v>
      </c>
      <c r="I242" s="13">
        <f t="shared" si="3"/>
        <v>-5.1905315571890931E-2</v>
      </c>
    </row>
    <row r="243" spans="1:9" ht="22" x14ac:dyDescent="0.3">
      <c r="A243" s="8"/>
      <c r="B243" s="11">
        <v>45720</v>
      </c>
      <c r="C243" s="10">
        <v>531.62</v>
      </c>
      <c r="D243" s="10">
        <v>34777460</v>
      </c>
      <c r="E243" s="10" t="s">
        <v>1345</v>
      </c>
      <c r="F243" s="10" t="s">
        <v>1346</v>
      </c>
      <c r="G243" s="10" t="s">
        <v>1347</v>
      </c>
      <c r="I243" s="13">
        <f t="shared" si="3"/>
        <v>-9.3852164226607471E-2</v>
      </c>
    </row>
    <row r="244" spans="1:9" ht="22" x14ac:dyDescent="0.3">
      <c r="A244" s="8"/>
      <c r="B244" s="11">
        <v>45692</v>
      </c>
      <c r="C244" s="10">
        <v>583.92999999999995</v>
      </c>
      <c r="D244" s="10">
        <v>13470780</v>
      </c>
      <c r="E244" s="10" t="s">
        <v>1348</v>
      </c>
      <c r="F244" s="10" t="s">
        <v>1349</v>
      </c>
      <c r="G244" s="10" t="s">
        <v>1350</v>
      </c>
      <c r="I244" s="13">
        <f t="shared" si="3"/>
        <v>-3.5386769466292378E-3</v>
      </c>
    </row>
    <row r="245" spans="1:9" ht="22" x14ac:dyDescent="0.3">
      <c r="A245" s="8"/>
      <c r="B245" s="11">
        <v>45661</v>
      </c>
      <c r="C245" s="10">
        <v>586</v>
      </c>
      <c r="D245" s="10">
        <v>12836570</v>
      </c>
      <c r="E245" s="10" t="s">
        <v>1351</v>
      </c>
      <c r="F245" s="10" t="s">
        <v>1352</v>
      </c>
      <c r="G245" s="10" t="s">
        <v>1353</v>
      </c>
      <c r="I245" s="13">
        <f t="shared" si="3"/>
        <v>1.6587324112278701E-2</v>
      </c>
    </row>
    <row r="246" spans="1:9" ht="22" x14ac:dyDescent="0.3">
      <c r="A246" s="8"/>
      <c r="B246" s="9" t="s">
        <v>615</v>
      </c>
      <c r="C246" s="10">
        <v>576.36</v>
      </c>
      <c r="D246" s="10">
        <v>21124680</v>
      </c>
      <c r="E246" s="10" t="s">
        <v>1354</v>
      </c>
      <c r="F246" s="10" t="s">
        <v>1355</v>
      </c>
      <c r="G246" s="10" t="s">
        <v>1356</v>
      </c>
      <c r="I246" s="13">
        <f t="shared" si="3"/>
        <v>-6.59092903921632E-4</v>
      </c>
    </row>
    <row r="247" spans="1:9" ht="22" x14ac:dyDescent="0.3">
      <c r="A247" s="8"/>
      <c r="B247" s="9" t="s">
        <v>617</v>
      </c>
      <c r="C247" s="10">
        <v>576.74</v>
      </c>
      <c r="D247" s="10">
        <v>17602820</v>
      </c>
      <c r="E247" s="10" t="s">
        <v>1357</v>
      </c>
      <c r="F247" s="10" t="s">
        <v>1358</v>
      </c>
      <c r="G247" s="10" t="s">
        <v>1359</v>
      </c>
      <c r="I247" s="13">
        <f t="shared" si="3"/>
        <v>-4.3828878264647209E-2</v>
      </c>
    </row>
    <row r="248" spans="1:9" ht="22" x14ac:dyDescent="0.3">
      <c r="A248" s="8"/>
      <c r="B248" s="9" t="s">
        <v>619</v>
      </c>
      <c r="C248" s="10">
        <v>602.58000000000004</v>
      </c>
      <c r="D248" s="10">
        <v>10436520</v>
      </c>
      <c r="E248" s="10" t="s">
        <v>1360</v>
      </c>
      <c r="F248" s="10" t="s">
        <v>1361</v>
      </c>
      <c r="G248" s="10" t="s">
        <v>1362</v>
      </c>
      <c r="I248" s="13">
        <f t="shared" si="3"/>
        <v>-1.3843788778326704E-2</v>
      </c>
    </row>
    <row r="249" spans="1:9" ht="22" x14ac:dyDescent="0.3">
      <c r="A249" s="8"/>
      <c r="B249" s="9" t="s">
        <v>622</v>
      </c>
      <c r="C249" s="10">
        <v>610.98</v>
      </c>
      <c r="D249" s="10">
        <v>12661890</v>
      </c>
      <c r="E249" s="10" t="s">
        <v>1363</v>
      </c>
      <c r="F249" s="10" t="s">
        <v>1364</v>
      </c>
      <c r="G249" s="10" t="s">
        <v>1365</v>
      </c>
      <c r="I249" s="13">
        <f t="shared" si="3"/>
        <v>-2.478123078134864E-2</v>
      </c>
    </row>
    <row r="250" spans="1:9" ht="22" x14ac:dyDescent="0.3">
      <c r="A250" s="8"/>
      <c r="B250" s="9" t="s">
        <v>624</v>
      </c>
      <c r="C250" s="10">
        <v>626.30999999999995</v>
      </c>
      <c r="D250" s="10">
        <v>15312540</v>
      </c>
      <c r="E250" s="10" t="s">
        <v>1366</v>
      </c>
      <c r="F250" s="10" t="s">
        <v>1367</v>
      </c>
      <c r="G250" s="10" t="s">
        <v>1368</v>
      </c>
      <c r="I250" s="13">
        <f t="shared" si="3"/>
        <v>1.1982539206946363E-2</v>
      </c>
    </row>
    <row r="251" spans="1:9" ht="22" x14ac:dyDescent="0.3">
      <c r="A251" s="8"/>
      <c r="B251" s="9" t="s">
        <v>625</v>
      </c>
      <c r="C251" s="10">
        <v>618.85</v>
      </c>
      <c r="D251" s="10">
        <v>15741270</v>
      </c>
      <c r="E251" s="10" t="s">
        <v>1369</v>
      </c>
      <c r="F251" s="10" t="s">
        <v>1370</v>
      </c>
      <c r="G251" s="10" t="s">
        <v>1371</v>
      </c>
      <c r="I251" s="13">
        <f t="shared" si="3"/>
        <v>3.7202874783480055E-2</v>
      </c>
    </row>
    <row r="252" spans="1:9" ht="22" x14ac:dyDescent="0.3">
      <c r="A252" s="8"/>
      <c r="B252" s="9" t="s">
        <v>628</v>
      </c>
      <c r="C252" s="10">
        <v>596.25</v>
      </c>
      <c r="D252" s="10">
        <v>25015860</v>
      </c>
      <c r="E252" s="10" t="s">
        <v>1372</v>
      </c>
      <c r="F252" s="10" t="s">
        <v>1373</v>
      </c>
      <c r="G252" s="10" t="s">
        <v>1374</v>
      </c>
      <c r="I252" s="13">
        <f t="shared" si="3"/>
        <v>1.7340252625539065E-2</v>
      </c>
    </row>
    <row r="253" spans="1:9" ht="22" x14ac:dyDescent="0.3">
      <c r="A253" s="8"/>
      <c r="B253" s="9" t="s">
        <v>629</v>
      </c>
      <c r="C253" s="10">
        <v>586</v>
      </c>
      <c r="D253" s="10">
        <v>24336510</v>
      </c>
      <c r="E253" s="10" t="s">
        <v>1375</v>
      </c>
      <c r="F253" s="10" t="s">
        <v>1376</v>
      </c>
      <c r="G253" s="10" t="s">
        <v>1377</v>
      </c>
      <c r="I253" s="13">
        <f t="shared" si="3"/>
        <v>3.3160723001222081E-3</v>
      </c>
    </row>
    <row r="254" spans="1:9" ht="22" x14ac:dyDescent="0.3">
      <c r="A254" s="8"/>
      <c r="B254" s="9" t="s">
        <v>632</v>
      </c>
      <c r="C254" s="10">
        <v>584.05999999999995</v>
      </c>
      <c r="D254" s="10">
        <v>20537500</v>
      </c>
      <c r="E254" s="10" t="s">
        <v>1378</v>
      </c>
      <c r="F254" s="10" t="s">
        <v>1379</v>
      </c>
      <c r="G254" s="10" t="s">
        <v>1380</v>
      </c>
      <c r="I254" s="13">
        <f>0</f>
        <v>0</v>
      </c>
    </row>
    <row r="255" spans="1:9" ht="20" x14ac:dyDescent="0.2">
      <c r="A255" s="8"/>
      <c r="B255" s="8"/>
      <c r="C255" s="8"/>
      <c r="D255" s="8"/>
      <c r="E255" s="8"/>
      <c r="F255" s="8"/>
      <c r="G25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35E6-6C15-BA4B-A976-CBC325F3BE48}">
  <dimension ref="A1:O254"/>
  <sheetViews>
    <sheetView topLeftCell="A257" workbookViewId="0">
      <selection activeCell="I4" sqref="I4"/>
    </sheetView>
  </sheetViews>
  <sheetFormatPr baseColWidth="10" defaultColWidth="11" defaultRowHeight="16" x14ac:dyDescent="0.2"/>
  <cols>
    <col min="11" max="11" width="14.5" customWidth="1"/>
    <col min="12" max="12" width="16.83203125" bestFit="1" customWidth="1"/>
    <col min="13" max="13" width="13.33203125" bestFit="1" customWidth="1"/>
    <col min="15" max="15" width="12.83203125" bestFit="1" customWidth="1"/>
  </cols>
  <sheetData>
    <row r="1" spans="1:15" ht="22" x14ac:dyDescent="0.3">
      <c r="A1" s="2" t="s">
        <v>1381</v>
      </c>
    </row>
    <row r="3" spans="1:15" ht="22" x14ac:dyDescent="0.3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I3" s="4" t="s">
        <v>634</v>
      </c>
      <c r="K3" s="14"/>
      <c r="L3" s="15"/>
      <c r="M3" s="17" t="s">
        <v>1976</v>
      </c>
      <c r="N3" s="25"/>
    </row>
    <row r="4" spans="1:15" ht="22" x14ac:dyDescent="0.3">
      <c r="B4" s="4" t="s">
        <v>644</v>
      </c>
      <c r="C4" s="5">
        <v>393.8</v>
      </c>
      <c r="D4" s="5">
        <v>6726</v>
      </c>
      <c r="E4" s="5" t="s">
        <v>1383</v>
      </c>
      <c r="F4" s="5" t="s">
        <v>1384</v>
      </c>
      <c r="G4" s="5" t="s">
        <v>1382</v>
      </c>
      <c r="I4" s="5">
        <f>LN(C4)-LN(C5)</f>
        <v>-2.5992415327174001E-2</v>
      </c>
      <c r="K4" s="14"/>
      <c r="L4" s="1" t="s">
        <v>640</v>
      </c>
      <c r="M4" s="27">
        <f>AVERAGE(I4:I254)</f>
        <v>-1.3482308283282509E-5</v>
      </c>
    </row>
    <row r="5" spans="1:15" ht="22" x14ac:dyDescent="0.3">
      <c r="B5" s="4" t="s">
        <v>6</v>
      </c>
      <c r="C5" s="5">
        <v>404.17</v>
      </c>
      <c r="D5" s="5">
        <v>500</v>
      </c>
      <c r="E5" s="5" t="s">
        <v>1385</v>
      </c>
      <c r="F5" s="5" t="s">
        <v>1386</v>
      </c>
      <c r="G5" s="5" t="s">
        <v>1387</v>
      </c>
      <c r="I5" s="5">
        <f t="shared" ref="I5:I68" si="0">LN(C5)-LN(C6)</f>
        <v>-1.4321578166154758E-2</v>
      </c>
      <c r="K5" s="14"/>
      <c r="L5" s="1" t="s">
        <v>636</v>
      </c>
      <c r="M5" s="27">
        <f>_xlfn.VAR.S(I4:I254)</f>
        <v>6.5495582095870155E-4</v>
      </c>
    </row>
    <row r="6" spans="1:15" x14ac:dyDescent="0.2">
      <c r="B6" s="4" t="s">
        <v>10</v>
      </c>
      <c r="C6" s="5">
        <v>410</v>
      </c>
      <c r="D6" s="5">
        <v>452</v>
      </c>
      <c r="E6" s="5" t="s">
        <v>1389</v>
      </c>
      <c r="F6" s="5" t="s">
        <v>1390</v>
      </c>
      <c r="G6" s="5" t="s">
        <v>1391</v>
      </c>
      <c r="I6" s="5">
        <f t="shared" si="0"/>
        <v>1.9540905450769586E-2</v>
      </c>
      <c r="L6" s="1" t="s">
        <v>639</v>
      </c>
      <c r="M6" s="27">
        <f>SQRT(M5)</f>
        <v>2.5592104660592134E-2</v>
      </c>
    </row>
    <row r="7" spans="1:15" x14ac:dyDescent="0.2">
      <c r="B7" s="4" t="s">
        <v>14</v>
      </c>
      <c r="C7" s="5">
        <v>402.06599999999997</v>
      </c>
      <c r="D7" s="5">
        <v>369</v>
      </c>
      <c r="E7" s="5" t="s">
        <v>1392</v>
      </c>
      <c r="F7" s="5" t="s">
        <v>1393</v>
      </c>
      <c r="G7" s="5" t="s">
        <v>1391</v>
      </c>
      <c r="I7" s="5">
        <f t="shared" si="0"/>
        <v>-6.6331394482261885E-2</v>
      </c>
      <c r="M7" s="18"/>
    </row>
    <row r="8" spans="1:15" x14ac:dyDescent="0.2">
      <c r="B8" s="6">
        <v>46359</v>
      </c>
      <c r="C8" s="5">
        <v>429.64</v>
      </c>
      <c r="D8" s="5">
        <v>297</v>
      </c>
      <c r="E8" s="5" t="s">
        <v>1395</v>
      </c>
      <c r="F8" s="5" t="s">
        <v>1394</v>
      </c>
      <c r="G8" s="5" t="s">
        <v>1396</v>
      </c>
      <c r="I8" s="5">
        <f t="shared" si="0"/>
        <v>4.1900027830216402E-2</v>
      </c>
      <c r="L8" s="1"/>
      <c r="M8" s="16" t="s">
        <v>1977</v>
      </c>
      <c r="N8" s="1" t="s">
        <v>1978</v>
      </c>
      <c r="O8" s="1" t="s">
        <v>1979</v>
      </c>
    </row>
    <row r="9" spans="1:15" x14ac:dyDescent="0.2">
      <c r="B9" s="6">
        <v>46329</v>
      </c>
      <c r="C9" s="5">
        <v>412.01</v>
      </c>
      <c r="D9" s="5">
        <v>3383</v>
      </c>
      <c r="E9" s="5" t="s">
        <v>1397</v>
      </c>
      <c r="F9" s="5" t="s">
        <v>1398</v>
      </c>
      <c r="G9" s="5" t="s">
        <v>1392</v>
      </c>
      <c r="I9" s="5">
        <f t="shared" si="0"/>
        <v>-1.562926902990025E-2</v>
      </c>
      <c r="L9" s="1" t="s">
        <v>637</v>
      </c>
      <c r="M9" s="1">
        <f>_xlfn.COVARIANCE.S(Kenechukwu!I4:I254,Morgan!I4:'Morgan'!I254)</f>
        <v>2.1523673414648956E-4</v>
      </c>
      <c r="N9" s="1">
        <f>_xlfn.COVARIANCE.S(Kenechukwu!I4:I254,Lisa!I4:'Lisa'!I254)</f>
        <v>3.1143538674375214E-4</v>
      </c>
      <c r="O9" s="1">
        <f>_xlfn.COVARIANCE.S(Morgan!I4:I254,Lisa!I4:I254)</f>
        <v>1.0409410922340643E-4</v>
      </c>
    </row>
    <row r="10" spans="1:15" x14ac:dyDescent="0.2">
      <c r="B10" s="6">
        <v>46298</v>
      </c>
      <c r="C10" s="5">
        <v>418.5</v>
      </c>
      <c r="D10" s="5">
        <v>1784</v>
      </c>
      <c r="E10" s="5" t="s">
        <v>1399</v>
      </c>
      <c r="F10" s="5" t="s">
        <v>1400</v>
      </c>
      <c r="G10" s="5" t="s">
        <v>1401</v>
      </c>
      <c r="I10" s="5">
        <f t="shared" si="0"/>
        <v>-2.0224212462625957E-2</v>
      </c>
      <c r="L10" s="1" t="s">
        <v>638</v>
      </c>
      <c r="M10" s="1">
        <f>M9/(Kenechukwu!M6*Morgan!M5)</f>
        <v>5.5103214702408913E-2</v>
      </c>
      <c r="N10" s="1">
        <f>N9/(Kenechukwu!M6*Lisa!M6)</f>
        <v>7.5288013332299328E-2</v>
      </c>
      <c r="O10" s="1">
        <f>O9/(M6*Morgan!M5)</f>
        <v>0.16831267004451256</v>
      </c>
    </row>
    <row r="11" spans="1:15" x14ac:dyDescent="0.2">
      <c r="B11" s="6">
        <v>46268</v>
      </c>
      <c r="C11" s="5">
        <v>427.05</v>
      </c>
      <c r="D11" s="5">
        <v>424</v>
      </c>
      <c r="E11" s="5" t="s">
        <v>1402</v>
      </c>
      <c r="F11" s="5" t="s">
        <v>1403</v>
      </c>
      <c r="G11" s="5" t="s">
        <v>1404</v>
      </c>
      <c r="I11" s="5">
        <f t="shared" si="0"/>
        <v>2.5838293011126723E-3</v>
      </c>
    </row>
    <row r="12" spans="1:15" x14ac:dyDescent="0.2">
      <c r="B12" s="6">
        <v>46176</v>
      </c>
      <c r="C12" s="5">
        <v>425.94799999999998</v>
      </c>
      <c r="D12" s="5">
        <v>233</v>
      </c>
      <c r="E12" s="5" t="s">
        <v>1405</v>
      </c>
      <c r="F12" s="5" t="s">
        <v>1406</v>
      </c>
      <c r="G12" s="5" t="s">
        <v>1405</v>
      </c>
      <c r="I12" s="5">
        <f t="shared" si="0"/>
        <v>-4.564287017023716E-2</v>
      </c>
    </row>
    <row r="13" spans="1:15" x14ac:dyDescent="0.2">
      <c r="B13" s="6">
        <v>46145</v>
      </c>
      <c r="C13" s="5">
        <v>445.84</v>
      </c>
      <c r="D13" s="5">
        <v>1161</v>
      </c>
      <c r="E13" s="5" t="s">
        <v>1407</v>
      </c>
      <c r="F13" s="5" t="s">
        <v>1408</v>
      </c>
      <c r="G13" s="5" t="s">
        <v>1407</v>
      </c>
      <c r="I13" s="5">
        <f t="shared" si="0"/>
        <v>5.058052420686554E-2</v>
      </c>
    </row>
    <row r="14" spans="1:15" x14ac:dyDescent="0.2">
      <c r="B14" s="6">
        <v>46115</v>
      </c>
      <c r="C14" s="5">
        <v>423.85</v>
      </c>
      <c r="D14" s="5">
        <v>267</v>
      </c>
      <c r="E14" s="5" t="s">
        <v>1410</v>
      </c>
      <c r="F14" s="5" t="s">
        <v>1411</v>
      </c>
      <c r="G14" s="5" t="s">
        <v>1409</v>
      </c>
      <c r="I14" s="5">
        <f t="shared" si="0"/>
        <v>-4.3901170187871763E-2</v>
      </c>
    </row>
    <row r="15" spans="1:15" x14ac:dyDescent="0.2">
      <c r="B15" s="6">
        <v>46084</v>
      </c>
      <c r="C15" s="5">
        <v>442.87200000000001</v>
      </c>
      <c r="D15" s="5">
        <v>268</v>
      </c>
      <c r="E15" s="5" t="s">
        <v>1412</v>
      </c>
      <c r="F15" s="5" t="s">
        <v>1413</v>
      </c>
      <c r="G15" s="5" t="s">
        <v>1414</v>
      </c>
      <c r="I15" s="5">
        <f t="shared" si="0"/>
        <v>-9.2778053712825326E-3</v>
      </c>
    </row>
    <row r="16" spans="1:15" x14ac:dyDescent="0.2">
      <c r="B16" s="6">
        <v>46056</v>
      </c>
      <c r="C16" s="5">
        <v>447</v>
      </c>
      <c r="D16" s="5">
        <v>606</v>
      </c>
      <c r="E16" s="5" t="s">
        <v>1416</v>
      </c>
      <c r="F16" s="5" t="s">
        <v>1417</v>
      </c>
      <c r="G16" s="5" t="s">
        <v>1418</v>
      </c>
      <c r="I16" s="5">
        <f t="shared" si="0"/>
        <v>-6.2018570203057344E-2</v>
      </c>
    </row>
    <row r="17" spans="2:9" x14ac:dyDescent="0.2">
      <c r="B17" s="4" t="s">
        <v>39</v>
      </c>
      <c r="C17" s="5">
        <v>475.6</v>
      </c>
      <c r="D17" s="5">
        <v>322</v>
      </c>
      <c r="E17" s="5" t="s">
        <v>1419</v>
      </c>
      <c r="F17" s="5" t="s">
        <v>1420</v>
      </c>
      <c r="G17" s="5" t="s">
        <v>1419</v>
      </c>
      <c r="I17" s="5">
        <f t="shared" si="0"/>
        <v>5.0590327123947176E-3</v>
      </c>
    </row>
    <row r="18" spans="2:9" x14ac:dyDescent="0.2">
      <c r="B18" s="4" t="s">
        <v>41</v>
      </c>
      <c r="C18" s="5">
        <v>473.2</v>
      </c>
      <c r="D18" s="5">
        <v>231</v>
      </c>
      <c r="E18" s="5" t="s">
        <v>1421</v>
      </c>
      <c r="F18" s="5" t="s">
        <v>1421</v>
      </c>
      <c r="G18" s="5" t="s">
        <v>1422</v>
      </c>
      <c r="I18" s="5">
        <f t="shared" si="0"/>
        <v>2.5252786364578839E-2</v>
      </c>
    </row>
    <row r="19" spans="2:9" x14ac:dyDescent="0.2">
      <c r="B19" s="4" t="s">
        <v>45</v>
      </c>
      <c r="C19" s="5">
        <v>461.4</v>
      </c>
      <c r="D19" s="5">
        <v>3089</v>
      </c>
      <c r="E19" s="5" t="s">
        <v>1424</v>
      </c>
      <c r="F19" s="5" t="s">
        <v>1424</v>
      </c>
      <c r="G19" s="5" t="s">
        <v>1423</v>
      </c>
      <c r="I19" s="5">
        <f t="shared" si="0"/>
        <v>-1.1892591044809997E-2</v>
      </c>
    </row>
    <row r="20" spans="2:9" x14ac:dyDescent="0.2">
      <c r="B20" s="4" t="s">
        <v>49</v>
      </c>
      <c r="C20" s="5">
        <v>466.92</v>
      </c>
      <c r="D20" s="5">
        <v>3928</v>
      </c>
      <c r="E20" s="5" t="s">
        <v>1425</v>
      </c>
      <c r="F20" s="5" t="s">
        <v>1426</v>
      </c>
      <c r="G20" s="5" t="s">
        <v>1425</v>
      </c>
      <c r="I20" s="5">
        <f t="shared" si="0"/>
        <v>-8.5302914255329654E-3</v>
      </c>
    </row>
    <row r="21" spans="2:9" x14ac:dyDescent="0.2">
      <c r="B21" s="4" t="s">
        <v>52</v>
      </c>
      <c r="C21" s="5">
        <v>470.92</v>
      </c>
      <c r="D21" s="5">
        <v>12625</v>
      </c>
      <c r="E21" s="5" t="s">
        <v>1427</v>
      </c>
      <c r="F21" s="5" t="s">
        <v>1427</v>
      </c>
      <c r="G21" s="5" t="s">
        <v>1419</v>
      </c>
      <c r="I21" s="5">
        <f t="shared" si="0"/>
        <v>-8.1001214823990253E-3</v>
      </c>
    </row>
    <row r="22" spans="2:9" x14ac:dyDescent="0.2">
      <c r="B22" s="4" t="s">
        <v>56</v>
      </c>
      <c r="C22" s="5">
        <v>474.75</v>
      </c>
      <c r="D22" s="5">
        <v>181</v>
      </c>
      <c r="E22" s="5" t="s">
        <v>1428</v>
      </c>
      <c r="F22" s="5" t="s">
        <v>1428</v>
      </c>
      <c r="G22" s="5" t="s">
        <v>1429</v>
      </c>
      <c r="I22" s="5">
        <f t="shared" si="0"/>
        <v>1.8345237987332119E-2</v>
      </c>
    </row>
    <row r="23" spans="2:9" x14ac:dyDescent="0.2">
      <c r="B23" s="4" t="s">
        <v>60</v>
      </c>
      <c r="C23" s="5">
        <v>466.12</v>
      </c>
      <c r="D23" s="5">
        <v>240</v>
      </c>
      <c r="E23" s="5" t="s">
        <v>1430</v>
      </c>
      <c r="F23" s="5" t="s">
        <v>1431</v>
      </c>
      <c r="G23" s="5" t="s">
        <v>1432</v>
      </c>
      <c r="I23" s="5">
        <f t="shared" si="0"/>
        <v>-7.0772170190736006E-4</v>
      </c>
    </row>
    <row r="24" spans="2:9" x14ac:dyDescent="0.2">
      <c r="B24" s="4" t="s">
        <v>63</v>
      </c>
      <c r="C24" s="5">
        <v>466.45</v>
      </c>
      <c r="D24" s="5">
        <v>491</v>
      </c>
      <c r="E24" s="5" t="s">
        <v>1433</v>
      </c>
      <c r="F24" s="5" t="s">
        <v>1433</v>
      </c>
      <c r="G24" s="5" t="s">
        <v>1434</v>
      </c>
      <c r="I24" s="5">
        <f t="shared" si="0"/>
        <v>1.8543692356694841E-2</v>
      </c>
    </row>
    <row r="25" spans="2:9" x14ac:dyDescent="0.2">
      <c r="B25" s="4" t="s">
        <v>67</v>
      </c>
      <c r="C25" s="5">
        <v>457.88</v>
      </c>
      <c r="D25" s="5">
        <v>1076</v>
      </c>
      <c r="E25" s="5" t="s">
        <v>1435</v>
      </c>
      <c r="F25" s="5" t="s">
        <v>1436</v>
      </c>
      <c r="G25" s="5" t="s">
        <v>1437</v>
      </c>
      <c r="I25" s="5">
        <f t="shared" si="0"/>
        <v>2.2707164612505437E-2</v>
      </c>
    </row>
    <row r="26" spans="2:9" x14ac:dyDescent="0.2">
      <c r="B26" s="4" t="s">
        <v>70</v>
      </c>
      <c r="C26" s="5">
        <v>447.6</v>
      </c>
      <c r="D26" s="5">
        <v>10626</v>
      </c>
      <c r="E26" s="5" t="s">
        <v>1438</v>
      </c>
      <c r="F26" s="5" t="s">
        <v>1439</v>
      </c>
      <c r="G26" s="5" t="s">
        <v>1440</v>
      </c>
      <c r="I26" s="5">
        <f t="shared" si="0"/>
        <v>6.3645265160356068E-2</v>
      </c>
    </row>
    <row r="27" spans="2:9" x14ac:dyDescent="0.2">
      <c r="B27" s="6">
        <v>46358</v>
      </c>
      <c r="C27" s="5">
        <v>420</v>
      </c>
      <c r="D27" s="5">
        <v>520</v>
      </c>
      <c r="E27" s="5" t="s">
        <v>1442</v>
      </c>
      <c r="F27" s="5" t="s">
        <v>1442</v>
      </c>
      <c r="G27" s="5" t="s">
        <v>1441</v>
      </c>
      <c r="I27" s="5">
        <f t="shared" si="0"/>
        <v>-0.12350210032064801</v>
      </c>
    </row>
    <row r="28" spans="2:9" x14ac:dyDescent="0.2">
      <c r="B28" s="6">
        <v>46328</v>
      </c>
      <c r="C28" s="5">
        <v>475.21</v>
      </c>
      <c r="D28" s="5">
        <v>24865</v>
      </c>
      <c r="E28" s="5" t="s">
        <v>1443</v>
      </c>
      <c r="F28" s="5" t="s">
        <v>1443</v>
      </c>
      <c r="G28" s="5" t="s">
        <v>1444</v>
      </c>
      <c r="I28" s="5">
        <f t="shared" si="0"/>
        <v>3.7885166305962059E-4</v>
      </c>
    </row>
    <row r="29" spans="2:9" x14ac:dyDescent="0.2">
      <c r="B29" s="6">
        <v>46297</v>
      </c>
      <c r="C29" s="5">
        <v>475.03</v>
      </c>
      <c r="D29" s="5">
        <v>24808</v>
      </c>
      <c r="E29" s="5" t="s">
        <v>1445</v>
      </c>
      <c r="F29" s="5" t="s">
        <v>1445</v>
      </c>
      <c r="G29" s="5" t="s">
        <v>1446</v>
      </c>
      <c r="I29" s="5">
        <f t="shared" si="0"/>
        <v>2.4791879669049166E-2</v>
      </c>
    </row>
    <row r="30" spans="2:9" x14ac:dyDescent="0.2">
      <c r="B30" s="6">
        <v>46267</v>
      </c>
      <c r="C30" s="5">
        <v>463.39789999999999</v>
      </c>
      <c r="D30" s="5">
        <v>174</v>
      </c>
      <c r="E30" s="5" t="s">
        <v>1447</v>
      </c>
      <c r="F30" s="5" t="s">
        <v>1447</v>
      </c>
      <c r="G30" s="5" t="s">
        <v>1448</v>
      </c>
      <c r="I30" s="5">
        <f t="shared" si="0"/>
        <v>-2.2621241429123806E-2</v>
      </c>
    </row>
    <row r="31" spans="2:9" x14ac:dyDescent="0.2">
      <c r="B31" s="6">
        <v>46175</v>
      </c>
      <c r="C31" s="5">
        <v>474</v>
      </c>
      <c r="D31" s="5">
        <v>275</v>
      </c>
      <c r="E31" s="5" t="s">
        <v>1449</v>
      </c>
      <c r="F31" s="5" t="s">
        <v>1450</v>
      </c>
      <c r="G31" s="5" t="s">
        <v>1451</v>
      </c>
      <c r="I31" s="5">
        <f t="shared" si="0"/>
        <v>0</v>
      </c>
    </row>
    <row r="32" spans="2:9" x14ac:dyDescent="0.2">
      <c r="B32" s="6">
        <v>46144</v>
      </c>
      <c r="C32" s="5">
        <v>474</v>
      </c>
      <c r="D32" s="5">
        <v>215</v>
      </c>
      <c r="E32" s="5" t="s">
        <v>1452</v>
      </c>
      <c r="F32" s="5" t="s">
        <v>1453</v>
      </c>
      <c r="G32" s="5" t="s">
        <v>1451</v>
      </c>
      <c r="I32" s="5">
        <f t="shared" si="0"/>
        <v>1.2311766638266164E-2</v>
      </c>
    </row>
    <row r="33" spans="2:9" x14ac:dyDescent="0.2">
      <c r="B33" s="6">
        <v>46114</v>
      </c>
      <c r="C33" s="5">
        <v>468.2</v>
      </c>
      <c r="D33" s="5">
        <v>857</v>
      </c>
      <c r="E33" s="5" t="s">
        <v>1454</v>
      </c>
      <c r="F33" s="5" t="s">
        <v>1455</v>
      </c>
      <c r="G33" s="5" t="s">
        <v>1456</v>
      </c>
      <c r="I33" s="5">
        <f t="shared" si="0"/>
        <v>4.4995578619040799E-2</v>
      </c>
    </row>
    <row r="34" spans="2:9" x14ac:dyDescent="0.2">
      <c r="B34" s="6">
        <v>46083</v>
      </c>
      <c r="C34" s="5">
        <v>447.6</v>
      </c>
      <c r="D34" s="5">
        <v>300</v>
      </c>
      <c r="E34" s="5" t="s">
        <v>1457</v>
      </c>
      <c r="F34" s="5" t="s">
        <v>1457</v>
      </c>
      <c r="G34" s="5" t="s">
        <v>1458</v>
      </c>
      <c r="I34" s="5">
        <f t="shared" si="0"/>
        <v>-3.8545947844998096E-2</v>
      </c>
    </row>
    <row r="35" spans="2:9" x14ac:dyDescent="0.2">
      <c r="B35" s="6">
        <v>46055</v>
      </c>
      <c r="C35" s="5">
        <v>465.19</v>
      </c>
      <c r="D35" s="5">
        <v>296</v>
      </c>
      <c r="E35" s="5" t="s">
        <v>1459</v>
      </c>
      <c r="F35" s="5" t="s">
        <v>1459</v>
      </c>
      <c r="G35" s="5" t="s">
        <v>1460</v>
      </c>
      <c r="I35" s="5">
        <f t="shared" si="0"/>
        <v>-3.6537531973834803E-4</v>
      </c>
    </row>
    <row r="36" spans="2:9" x14ac:dyDescent="0.2">
      <c r="B36" s="4" t="s">
        <v>98</v>
      </c>
      <c r="C36" s="5">
        <v>465.36</v>
      </c>
      <c r="D36" s="5">
        <v>477</v>
      </c>
      <c r="E36" s="5" t="s">
        <v>1461</v>
      </c>
      <c r="F36" s="5" t="s">
        <v>1461</v>
      </c>
      <c r="G36" s="5" t="s">
        <v>1462</v>
      </c>
      <c r="I36" s="5">
        <f t="shared" si="0"/>
        <v>-4.6177813045504834E-3</v>
      </c>
    </row>
    <row r="37" spans="2:9" x14ac:dyDescent="0.2">
      <c r="B37" s="4" t="s">
        <v>101</v>
      </c>
      <c r="C37" s="5">
        <v>467.51389999999998</v>
      </c>
      <c r="D37" s="5">
        <v>394</v>
      </c>
      <c r="E37" s="5" t="s">
        <v>1463</v>
      </c>
      <c r="F37" s="5" t="s">
        <v>1463</v>
      </c>
      <c r="G37" s="5" t="s">
        <v>1464</v>
      </c>
      <c r="I37" s="5">
        <f t="shared" si="0"/>
        <v>4.2635848492071915E-2</v>
      </c>
    </row>
    <row r="38" spans="2:9" x14ac:dyDescent="0.2">
      <c r="B38" s="4" t="s">
        <v>105</v>
      </c>
      <c r="C38" s="5">
        <v>448</v>
      </c>
      <c r="D38" s="5">
        <v>470</v>
      </c>
      <c r="E38" s="5" t="s">
        <v>1459</v>
      </c>
      <c r="F38" s="5" t="s">
        <v>1459</v>
      </c>
      <c r="G38" s="5" t="s">
        <v>1465</v>
      </c>
      <c r="I38" s="5">
        <f t="shared" si="0"/>
        <v>1.6978691358175979E-3</v>
      </c>
    </row>
    <row r="39" spans="2:9" x14ac:dyDescent="0.2">
      <c r="B39" s="4" t="s">
        <v>109</v>
      </c>
      <c r="C39" s="5">
        <v>447.24</v>
      </c>
      <c r="D39" s="5">
        <v>4193</v>
      </c>
      <c r="E39" s="5" t="s">
        <v>1466</v>
      </c>
      <c r="F39" s="5" t="s">
        <v>1467</v>
      </c>
      <c r="G39" s="5" t="s">
        <v>1468</v>
      </c>
      <c r="I39" s="5">
        <f t="shared" si="0"/>
        <v>-4.0660994171073384E-2</v>
      </c>
    </row>
    <row r="40" spans="2:9" x14ac:dyDescent="0.2">
      <c r="B40" s="4" t="s">
        <v>113</v>
      </c>
      <c r="C40" s="5">
        <v>465.8</v>
      </c>
      <c r="D40" s="5">
        <v>334</v>
      </c>
      <c r="E40" s="5" t="s">
        <v>1430</v>
      </c>
      <c r="F40" s="5" t="s">
        <v>1430</v>
      </c>
      <c r="G40" s="5" t="s">
        <v>1469</v>
      </c>
      <c r="I40" s="5">
        <f t="shared" si="0"/>
        <v>1.0310165016749195E-3</v>
      </c>
    </row>
    <row r="41" spans="2:9" x14ac:dyDescent="0.2">
      <c r="B41" s="4" t="s">
        <v>117</v>
      </c>
      <c r="C41" s="5">
        <v>465.32</v>
      </c>
      <c r="D41" s="5">
        <v>564</v>
      </c>
      <c r="E41" s="5" t="s">
        <v>1470</v>
      </c>
      <c r="F41" s="5" t="s">
        <v>1471</v>
      </c>
      <c r="G41" s="5" t="s">
        <v>1472</v>
      </c>
      <c r="I41" s="5">
        <f t="shared" si="0"/>
        <v>-2.7470186387636986E-3</v>
      </c>
    </row>
    <row r="42" spans="2:9" x14ac:dyDescent="0.2">
      <c r="B42" s="4" t="s">
        <v>121</v>
      </c>
      <c r="C42" s="5">
        <v>466.6</v>
      </c>
      <c r="D42" s="5">
        <v>236</v>
      </c>
      <c r="E42" s="5" t="s">
        <v>1474</v>
      </c>
      <c r="F42" s="5" t="s">
        <v>1473</v>
      </c>
      <c r="G42" s="5" t="s">
        <v>1474</v>
      </c>
      <c r="I42" s="5">
        <f t="shared" si="0"/>
        <v>7.455930527419774E-3</v>
      </c>
    </row>
    <row r="43" spans="2:9" x14ac:dyDescent="0.2">
      <c r="B43" s="4" t="s">
        <v>123</v>
      </c>
      <c r="C43" s="5">
        <v>463.13400000000001</v>
      </c>
      <c r="D43" s="5">
        <v>725</v>
      </c>
      <c r="E43" s="5" t="s">
        <v>1475</v>
      </c>
      <c r="F43" s="5" t="s">
        <v>1476</v>
      </c>
      <c r="G43" s="5" t="s">
        <v>1477</v>
      </c>
      <c r="I43" s="5">
        <f t="shared" si="0"/>
        <v>3.2743872483056435E-3</v>
      </c>
    </row>
    <row r="44" spans="2:9" x14ac:dyDescent="0.2">
      <c r="B44" s="4" t="s">
        <v>126</v>
      </c>
      <c r="C44" s="5">
        <v>461.62</v>
      </c>
      <c r="D44" s="5">
        <v>903</v>
      </c>
      <c r="E44" s="5" t="s">
        <v>1478</v>
      </c>
      <c r="F44" s="5" t="s">
        <v>1479</v>
      </c>
      <c r="G44" s="5" t="s">
        <v>1480</v>
      </c>
      <c r="I44" s="5">
        <f t="shared" si="0"/>
        <v>3.7571538717176445E-2</v>
      </c>
    </row>
    <row r="45" spans="2:9" x14ac:dyDescent="0.2">
      <c r="B45" s="4" t="s">
        <v>129</v>
      </c>
      <c r="C45" s="5">
        <v>444.59800000000001</v>
      </c>
      <c r="D45" s="5">
        <v>343</v>
      </c>
      <c r="E45" s="5" t="s">
        <v>1481</v>
      </c>
      <c r="F45" s="5" t="s">
        <v>1482</v>
      </c>
      <c r="G45" s="5" t="s">
        <v>1483</v>
      </c>
      <c r="I45" s="5">
        <f t="shared" si="0"/>
        <v>-6.8635126170502048E-3</v>
      </c>
    </row>
    <row r="46" spans="2:9" x14ac:dyDescent="0.2">
      <c r="B46" s="4" t="s">
        <v>132</v>
      </c>
      <c r="C46" s="5">
        <v>447.66</v>
      </c>
      <c r="D46" s="5">
        <v>169</v>
      </c>
      <c r="E46" s="5" t="s">
        <v>1485</v>
      </c>
      <c r="F46" s="5" t="s">
        <v>1486</v>
      </c>
      <c r="G46" s="5" t="s">
        <v>1484</v>
      </c>
      <c r="I46" s="5">
        <f t="shared" si="0"/>
        <v>-1.5119892537393653E-2</v>
      </c>
    </row>
    <row r="47" spans="2:9" x14ac:dyDescent="0.2">
      <c r="B47" s="4" t="s">
        <v>136</v>
      </c>
      <c r="C47" s="5">
        <v>454.48</v>
      </c>
      <c r="D47" s="5">
        <v>194</v>
      </c>
      <c r="E47" s="5" t="s">
        <v>1487</v>
      </c>
      <c r="F47" s="5" t="s">
        <v>1488</v>
      </c>
      <c r="G47" s="5" t="s">
        <v>1487</v>
      </c>
      <c r="I47" s="5">
        <f t="shared" si="0"/>
        <v>1.4271394105332291E-2</v>
      </c>
    </row>
    <row r="48" spans="2:9" x14ac:dyDescent="0.2">
      <c r="B48" s="4" t="s">
        <v>140</v>
      </c>
      <c r="C48" s="5">
        <v>448.04</v>
      </c>
      <c r="D48" s="5">
        <v>1225</v>
      </c>
      <c r="E48" s="5" t="s">
        <v>1489</v>
      </c>
      <c r="F48" s="5" t="s">
        <v>1490</v>
      </c>
      <c r="G48" s="5" t="s">
        <v>1489</v>
      </c>
      <c r="I48" s="5">
        <f t="shared" si="0"/>
        <v>-8.711166197506337E-3</v>
      </c>
    </row>
    <row r="49" spans="2:9" x14ac:dyDescent="0.2">
      <c r="B49" s="6">
        <v>46357</v>
      </c>
      <c r="C49" s="5">
        <v>451.96</v>
      </c>
      <c r="D49" s="5">
        <v>611</v>
      </c>
      <c r="E49" s="5" t="s">
        <v>1459</v>
      </c>
      <c r="F49" s="5" t="s">
        <v>1459</v>
      </c>
      <c r="G49" s="5" t="s">
        <v>1491</v>
      </c>
      <c r="I49" s="5">
        <f t="shared" si="0"/>
        <v>5.012986564383759E-3</v>
      </c>
    </row>
    <row r="50" spans="2:9" x14ac:dyDescent="0.2">
      <c r="B50" s="6">
        <v>46266</v>
      </c>
      <c r="C50" s="5">
        <v>449.7</v>
      </c>
      <c r="D50" s="5">
        <v>457</v>
      </c>
      <c r="E50" s="5" t="s">
        <v>1493</v>
      </c>
      <c r="F50" s="5" t="s">
        <v>1492</v>
      </c>
      <c r="G50" s="5" t="s">
        <v>1494</v>
      </c>
      <c r="I50" s="5">
        <f t="shared" si="0"/>
        <v>4.2936748494428301E-2</v>
      </c>
    </row>
    <row r="51" spans="2:9" x14ac:dyDescent="0.2">
      <c r="B51" s="6">
        <v>46235</v>
      </c>
      <c r="C51" s="5">
        <v>430.8</v>
      </c>
      <c r="D51" s="5">
        <v>606</v>
      </c>
      <c r="E51" s="5" t="s">
        <v>1496</v>
      </c>
      <c r="F51" s="5" t="s">
        <v>1495</v>
      </c>
      <c r="G51" s="5" t="s">
        <v>1497</v>
      </c>
      <c r="I51" s="5">
        <f t="shared" si="0"/>
        <v>2.7149169659468342E-3</v>
      </c>
    </row>
    <row r="52" spans="2:9" x14ac:dyDescent="0.2">
      <c r="B52" s="6">
        <v>46204</v>
      </c>
      <c r="C52" s="5">
        <v>429.63200000000001</v>
      </c>
      <c r="D52" s="5">
        <v>991</v>
      </c>
      <c r="E52" s="5" t="s">
        <v>1498</v>
      </c>
      <c r="F52" s="5" t="s">
        <v>1498</v>
      </c>
      <c r="G52" s="5" t="s">
        <v>1499</v>
      </c>
      <c r="I52" s="5">
        <f t="shared" si="0"/>
        <v>-7.3466992159847422E-3</v>
      </c>
    </row>
    <row r="53" spans="2:9" x14ac:dyDescent="0.2">
      <c r="B53" s="6">
        <v>46174</v>
      </c>
      <c r="C53" s="5">
        <v>432.8</v>
      </c>
      <c r="D53" s="5">
        <v>764</v>
      </c>
      <c r="E53" s="5" t="s">
        <v>1501</v>
      </c>
      <c r="F53" s="5" t="s">
        <v>1500</v>
      </c>
      <c r="G53" s="5" t="s">
        <v>1441</v>
      </c>
      <c r="I53" s="5">
        <f t="shared" si="0"/>
        <v>4.5182999444305594E-2</v>
      </c>
    </row>
    <row r="54" spans="2:9" x14ac:dyDescent="0.2">
      <c r="B54" s="6">
        <v>46143</v>
      </c>
      <c r="C54" s="5">
        <v>413.68</v>
      </c>
      <c r="D54" s="5">
        <v>625</v>
      </c>
      <c r="E54" s="5" t="s">
        <v>1441</v>
      </c>
      <c r="F54" s="5" t="s">
        <v>1502</v>
      </c>
      <c r="G54" s="5" t="s">
        <v>1503</v>
      </c>
      <c r="I54" s="5">
        <f t="shared" si="0"/>
        <v>-3.3478913546755251E-2</v>
      </c>
    </row>
    <row r="55" spans="2:9" x14ac:dyDescent="0.2">
      <c r="B55" s="6">
        <v>46054</v>
      </c>
      <c r="C55" s="5">
        <v>427.76400000000001</v>
      </c>
      <c r="D55" s="5">
        <v>417</v>
      </c>
      <c r="E55" s="5" t="s">
        <v>1504</v>
      </c>
      <c r="F55" s="5" t="s">
        <v>1505</v>
      </c>
      <c r="G55" s="5" t="s">
        <v>1506</v>
      </c>
      <c r="I55" s="5">
        <f t="shared" si="0"/>
        <v>-3.6568001609213141E-2</v>
      </c>
    </row>
    <row r="56" spans="2:9" x14ac:dyDescent="0.2">
      <c r="B56" s="4" t="s">
        <v>163</v>
      </c>
      <c r="C56" s="5">
        <v>443.69600000000003</v>
      </c>
      <c r="D56" s="5">
        <v>136</v>
      </c>
      <c r="E56" s="5" t="s">
        <v>1507</v>
      </c>
      <c r="F56" s="5" t="s">
        <v>1508</v>
      </c>
      <c r="G56" s="5" t="s">
        <v>1509</v>
      </c>
      <c r="I56" s="5">
        <f t="shared" si="0"/>
        <v>1.8357861729145775E-2</v>
      </c>
    </row>
    <row r="57" spans="2:9" x14ac:dyDescent="0.2">
      <c r="B57" s="4" t="s">
        <v>168</v>
      </c>
      <c r="C57" s="5">
        <v>435.625</v>
      </c>
      <c r="D57" s="5">
        <v>330</v>
      </c>
      <c r="E57" s="5" t="s">
        <v>1510</v>
      </c>
      <c r="F57" s="5" t="s">
        <v>1511</v>
      </c>
      <c r="G57" s="5" t="s">
        <v>1512</v>
      </c>
      <c r="I57" s="5">
        <f t="shared" si="0"/>
        <v>1.5101111397159528E-2</v>
      </c>
    </row>
    <row r="58" spans="2:9" x14ac:dyDescent="0.2">
      <c r="B58" s="4" t="s">
        <v>172</v>
      </c>
      <c r="C58" s="5">
        <v>429.096</v>
      </c>
      <c r="D58" s="5">
        <v>438</v>
      </c>
      <c r="E58" s="5" t="s">
        <v>1513</v>
      </c>
      <c r="F58" s="5" t="s">
        <v>1514</v>
      </c>
      <c r="G58" s="5" t="s">
        <v>1515</v>
      </c>
      <c r="I58" s="5">
        <f t="shared" si="0"/>
        <v>3.9884043698386051E-3</v>
      </c>
    </row>
    <row r="59" spans="2:9" x14ac:dyDescent="0.2">
      <c r="B59" s="4" t="s">
        <v>175</v>
      </c>
      <c r="C59" s="5">
        <v>427.38799999999998</v>
      </c>
      <c r="D59" s="5">
        <v>508</v>
      </c>
      <c r="E59" s="5" t="s">
        <v>1516</v>
      </c>
      <c r="F59" s="5" t="s">
        <v>1516</v>
      </c>
      <c r="G59" s="5" t="s">
        <v>1517</v>
      </c>
      <c r="I59" s="5">
        <f t="shared" si="0"/>
        <v>-3.2259228074845936E-2</v>
      </c>
    </row>
    <row r="60" spans="2:9" x14ac:dyDescent="0.2">
      <c r="B60" s="4" t="s">
        <v>179</v>
      </c>
      <c r="C60" s="5">
        <v>441.4</v>
      </c>
      <c r="D60" s="5">
        <v>119</v>
      </c>
      <c r="E60" s="5" t="s">
        <v>1519</v>
      </c>
      <c r="F60" s="5" t="s">
        <v>1518</v>
      </c>
      <c r="G60" s="5" t="s">
        <v>1519</v>
      </c>
      <c r="I60" s="5">
        <f t="shared" si="0"/>
        <v>3.7862324898219057E-2</v>
      </c>
    </row>
    <row r="61" spans="2:9" x14ac:dyDescent="0.2">
      <c r="B61" s="4" t="s">
        <v>181</v>
      </c>
      <c r="C61" s="5">
        <v>425</v>
      </c>
      <c r="D61" s="5">
        <v>428</v>
      </c>
      <c r="E61" s="5" t="s">
        <v>1520</v>
      </c>
      <c r="F61" s="5" t="s">
        <v>1521</v>
      </c>
      <c r="G61" s="5" t="s">
        <v>1522</v>
      </c>
      <c r="I61" s="5">
        <f t="shared" si="0"/>
        <v>-5.3971737255622543E-3</v>
      </c>
    </row>
    <row r="62" spans="2:9" x14ac:dyDescent="0.2">
      <c r="B62" s="4" t="s">
        <v>184</v>
      </c>
      <c r="C62" s="5">
        <v>427.3</v>
      </c>
      <c r="D62" s="5">
        <v>328</v>
      </c>
      <c r="E62" s="5" t="s">
        <v>1524</v>
      </c>
      <c r="F62" s="5" t="s">
        <v>1518</v>
      </c>
      <c r="G62" s="5" t="s">
        <v>1523</v>
      </c>
      <c r="I62" s="5">
        <f t="shared" si="0"/>
        <v>-1.6561144545978124E-2</v>
      </c>
    </row>
    <row r="63" spans="2:9" x14ac:dyDescent="0.2">
      <c r="B63" s="4" t="s">
        <v>187</v>
      </c>
      <c r="C63" s="5">
        <v>434.43549999999999</v>
      </c>
      <c r="D63" s="5">
        <v>645</v>
      </c>
      <c r="E63" s="5" t="s">
        <v>1472</v>
      </c>
      <c r="F63" s="5" t="s">
        <v>1525</v>
      </c>
      <c r="G63" s="5" t="s">
        <v>1526</v>
      </c>
      <c r="I63" s="5">
        <f t="shared" si="0"/>
        <v>-9.9962412051173288E-3</v>
      </c>
    </row>
    <row r="64" spans="2:9" x14ac:dyDescent="0.2">
      <c r="B64" s="4" t="s">
        <v>190</v>
      </c>
      <c r="C64" s="5">
        <v>438.8</v>
      </c>
      <c r="D64" s="5">
        <v>476</v>
      </c>
      <c r="E64" s="5" t="s">
        <v>1528</v>
      </c>
      <c r="F64" s="5" t="s">
        <v>1529</v>
      </c>
      <c r="G64" s="5" t="s">
        <v>1527</v>
      </c>
      <c r="I64" s="5">
        <f t="shared" si="0"/>
        <v>-4.9582889845201095E-3</v>
      </c>
    </row>
    <row r="65" spans="2:9" x14ac:dyDescent="0.2">
      <c r="B65" s="4" t="s">
        <v>194</v>
      </c>
      <c r="C65" s="5">
        <v>440.98110000000003</v>
      </c>
      <c r="D65" s="5">
        <v>460</v>
      </c>
      <c r="E65" s="5" t="s">
        <v>1530</v>
      </c>
      <c r="F65" s="5" t="s">
        <v>1531</v>
      </c>
      <c r="G65" s="5" t="s">
        <v>1530</v>
      </c>
      <c r="I65" s="5">
        <f t="shared" si="0"/>
        <v>1.6648966544274835E-2</v>
      </c>
    </row>
    <row r="66" spans="2:9" x14ac:dyDescent="0.2">
      <c r="B66" s="4" t="s">
        <v>197</v>
      </c>
      <c r="C66" s="5">
        <v>433.7</v>
      </c>
      <c r="D66" s="5">
        <v>933</v>
      </c>
      <c r="E66" s="5" t="s">
        <v>1532</v>
      </c>
      <c r="F66" s="5" t="s">
        <v>1533</v>
      </c>
      <c r="G66" s="5" t="s">
        <v>1534</v>
      </c>
      <c r="I66" s="5">
        <f t="shared" si="0"/>
        <v>-2.664215545869375E-2</v>
      </c>
    </row>
    <row r="67" spans="2:9" x14ac:dyDescent="0.2">
      <c r="B67" s="4" t="s">
        <v>201</v>
      </c>
      <c r="C67" s="5">
        <v>445.41</v>
      </c>
      <c r="D67" s="5">
        <v>695</v>
      </c>
      <c r="E67" s="5" t="s">
        <v>1395</v>
      </c>
      <c r="F67" s="5" t="s">
        <v>1535</v>
      </c>
      <c r="G67" s="5" t="s">
        <v>1395</v>
      </c>
      <c r="I67" s="5">
        <f t="shared" si="0"/>
        <v>4.4790629370845991E-2</v>
      </c>
    </row>
    <row r="68" spans="2:9" x14ac:dyDescent="0.2">
      <c r="B68" s="6">
        <v>46003</v>
      </c>
      <c r="C68" s="5">
        <v>425.9</v>
      </c>
      <c r="D68" s="5">
        <v>151</v>
      </c>
      <c r="E68" s="5" t="s">
        <v>1537</v>
      </c>
      <c r="F68" s="5" t="s">
        <v>1538</v>
      </c>
      <c r="G68" s="5" t="s">
        <v>1536</v>
      </c>
      <c r="I68" s="5">
        <f t="shared" si="0"/>
        <v>-8.6313441181662398E-3</v>
      </c>
    </row>
    <row r="69" spans="2:9" x14ac:dyDescent="0.2">
      <c r="B69" s="6">
        <v>45973</v>
      </c>
      <c r="C69" s="5">
        <v>429.59199999999998</v>
      </c>
      <c r="D69" s="5">
        <v>450</v>
      </c>
      <c r="E69" s="5" t="s">
        <v>1539</v>
      </c>
      <c r="F69" s="5" t="s">
        <v>1540</v>
      </c>
      <c r="G69" s="5" t="s">
        <v>1541</v>
      </c>
      <c r="I69" s="5">
        <f t="shared" ref="I69:I132" si="1">LN(C69)-LN(C70)</f>
        <v>-1.434750146318553E-2</v>
      </c>
    </row>
    <row r="70" spans="2:9" x14ac:dyDescent="0.2">
      <c r="B70" s="6">
        <v>45942</v>
      </c>
      <c r="C70" s="5">
        <v>435.8</v>
      </c>
      <c r="D70" s="5">
        <v>1064</v>
      </c>
      <c r="E70" s="5" t="s">
        <v>1543</v>
      </c>
      <c r="F70" s="5" t="s">
        <v>1539</v>
      </c>
      <c r="G70" s="5" t="s">
        <v>1544</v>
      </c>
      <c r="I70" s="5">
        <f t="shared" si="1"/>
        <v>3.178482089329826E-2</v>
      </c>
    </row>
    <row r="71" spans="2:9" x14ac:dyDescent="0.2">
      <c r="B71" s="6">
        <v>45912</v>
      </c>
      <c r="C71" s="5">
        <v>422.166</v>
      </c>
      <c r="D71" s="5">
        <v>384</v>
      </c>
      <c r="E71" s="5" t="s">
        <v>1546</v>
      </c>
      <c r="F71" s="5" t="s">
        <v>1547</v>
      </c>
      <c r="G71" s="5" t="s">
        <v>1545</v>
      </c>
      <c r="I71" s="5">
        <f t="shared" si="1"/>
        <v>-8.7615977130468536E-3</v>
      </c>
    </row>
    <row r="72" spans="2:9" x14ac:dyDescent="0.2">
      <c r="B72" s="6">
        <v>45881</v>
      </c>
      <c r="C72" s="5">
        <v>425.8811</v>
      </c>
      <c r="D72" s="5">
        <v>12471</v>
      </c>
      <c r="E72" s="5" t="s">
        <v>1495</v>
      </c>
      <c r="F72" s="5" t="s">
        <v>1495</v>
      </c>
      <c r="G72" s="5" t="s">
        <v>1548</v>
      </c>
      <c r="I72" s="5">
        <f t="shared" si="1"/>
        <v>-1.1479103415655167E-2</v>
      </c>
    </row>
    <row r="73" spans="2:9" x14ac:dyDescent="0.2">
      <c r="B73" s="6">
        <v>45789</v>
      </c>
      <c r="C73" s="5">
        <v>430.798</v>
      </c>
      <c r="D73" s="5">
        <v>554</v>
      </c>
      <c r="E73" s="5" t="s">
        <v>1549</v>
      </c>
      <c r="F73" s="5" t="s">
        <v>1458</v>
      </c>
      <c r="G73" s="5" t="s">
        <v>1549</v>
      </c>
      <c r="I73" s="5">
        <f t="shared" si="1"/>
        <v>-3.0680632464439306E-2</v>
      </c>
    </row>
    <row r="74" spans="2:9" x14ac:dyDescent="0.2">
      <c r="B74" s="6">
        <v>45759</v>
      </c>
      <c r="C74" s="5">
        <v>444.22</v>
      </c>
      <c r="D74" s="5">
        <v>246</v>
      </c>
      <c r="E74" s="5" t="s">
        <v>1550</v>
      </c>
      <c r="F74" s="5" t="s">
        <v>1551</v>
      </c>
      <c r="G74" s="5" t="s">
        <v>1552</v>
      </c>
      <c r="I74" s="5">
        <f t="shared" si="1"/>
        <v>9.7270430108036265E-3</v>
      </c>
    </row>
    <row r="75" spans="2:9" x14ac:dyDescent="0.2">
      <c r="B75" s="6">
        <v>45728</v>
      </c>
      <c r="C75" s="5">
        <v>439.92</v>
      </c>
      <c r="D75" s="5">
        <v>1557</v>
      </c>
      <c r="E75" s="5" t="s">
        <v>1553</v>
      </c>
      <c r="F75" s="5" t="s">
        <v>1553</v>
      </c>
      <c r="G75" s="5" t="s">
        <v>1554</v>
      </c>
      <c r="I75" s="5">
        <f t="shared" si="1"/>
        <v>-2.6956535458659836E-2</v>
      </c>
    </row>
    <row r="76" spans="2:9" x14ac:dyDescent="0.2">
      <c r="B76" s="6">
        <v>45700</v>
      </c>
      <c r="C76" s="5">
        <v>451.94</v>
      </c>
      <c r="D76" s="5">
        <v>242</v>
      </c>
      <c r="E76" s="5" t="s">
        <v>1556</v>
      </c>
      <c r="F76" s="5" t="s">
        <v>1555</v>
      </c>
      <c r="G76" s="5" t="s">
        <v>1557</v>
      </c>
      <c r="I76" s="5">
        <f t="shared" si="1"/>
        <v>-8.8468179344669551E-4</v>
      </c>
    </row>
    <row r="77" spans="2:9" x14ac:dyDescent="0.2">
      <c r="B77" s="6">
        <v>45669</v>
      </c>
      <c r="C77" s="5">
        <v>452.34</v>
      </c>
      <c r="D77" s="5">
        <v>528</v>
      </c>
      <c r="E77" s="5" t="s">
        <v>1559</v>
      </c>
      <c r="F77" s="5" t="s">
        <v>1558</v>
      </c>
      <c r="G77" s="5" t="s">
        <v>1559</v>
      </c>
      <c r="I77" s="5">
        <f t="shared" si="1"/>
        <v>1.1830773109716475E-2</v>
      </c>
    </row>
    <row r="78" spans="2:9" x14ac:dyDescent="0.2">
      <c r="B78" s="4" t="s">
        <v>225</v>
      </c>
      <c r="C78" s="5">
        <v>447.02</v>
      </c>
      <c r="D78" s="5">
        <v>175</v>
      </c>
      <c r="E78" s="5" t="s">
        <v>1561</v>
      </c>
      <c r="F78" s="5" t="s">
        <v>1560</v>
      </c>
      <c r="G78" s="5" t="s">
        <v>1562</v>
      </c>
      <c r="I78" s="5">
        <f t="shared" si="1"/>
        <v>4.4653726338650834E-2</v>
      </c>
    </row>
    <row r="79" spans="2:9" x14ac:dyDescent="0.2">
      <c r="B79" s="4" t="s">
        <v>228</v>
      </c>
      <c r="C79" s="5">
        <v>427.49799999999999</v>
      </c>
      <c r="D79" s="5">
        <v>1607</v>
      </c>
      <c r="E79" s="5" t="s">
        <v>1502</v>
      </c>
      <c r="F79" s="5" t="s">
        <v>1563</v>
      </c>
      <c r="G79" s="5" t="s">
        <v>1564</v>
      </c>
      <c r="I79" s="5">
        <f t="shared" si="1"/>
        <v>1.8981440251349291E-2</v>
      </c>
    </row>
    <row r="80" spans="2:9" x14ac:dyDescent="0.2">
      <c r="B80" s="4" t="s">
        <v>231</v>
      </c>
      <c r="C80" s="5">
        <v>419.46</v>
      </c>
      <c r="D80" s="5">
        <v>2193</v>
      </c>
      <c r="E80" s="5" t="s">
        <v>1565</v>
      </c>
      <c r="F80" s="5" t="s">
        <v>1566</v>
      </c>
      <c r="G80" s="5" t="s">
        <v>1567</v>
      </c>
      <c r="I80" s="5">
        <f t="shared" si="1"/>
        <v>1.9854723449546086E-3</v>
      </c>
    </row>
    <row r="81" spans="2:9" x14ac:dyDescent="0.2">
      <c r="B81" s="4" t="s">
        <v>235</v>
      </c>
      <c r="C81" s="5">
        <v>418.62799999999999</v>
      </c>
      <c r="D81" s="5">
        <v>224</v>
      </c>
      <c r="E81" s="5" t="s">
        <v>1568</v>
      </c>
      <c r="F81" s="5" t="s">
        <v>1568</v>
      </c>
      <c r="G81" s="5" t="s">
        <v>1569</v>
      </c>
      <c r="I81" s="5">
        <f t="shared" si="1"/>
        <v>1.4673767004031113E-2</v>
      </c>
    </row>
    <row r="82" spans="2:9" x14ac:dyDescent="0.2">
      <c r="B82" s="4" t="s">
        <v>238</v>
      </c>
      <c r="C82" s="5">
        <v>412.53</v>
      </c>
      <c r="D82" s="5">
        <v>379</v>
      </c>
      <c r="E82" s="5" t="s">
        <v>1388</v>
      </c>
      <c r="F82" s="5" t="s">
        <v>1570</v>
      </c>
      <c r="G82" s="5" t="s">
        <v>1571</v>
      </c>
      <c r="I82" s="5">
        <f t="shared" si="1"/>
        <v>-9.8175984239086134E-3</v>
      </c>
    </row>
    <row r="83" spans="2:9" x14ac:dyDescent="0.2">
      <c r="B83" s="4" t="s">
        <v>242</v>
      </c>
      <c r="C83" s="5">
        <v>416.6</v>
      </c>
      <c r="D83" s="5">
        <v>436</v>
      </c>
      <c r="E83" s="5" t="s">
        <v>1572</v>
      </c>
      <c r="F83" s="5" t="s">
        <v>1573</v>
      </c>
      <c r="G83" s="5" t="s">
        <v>1574</v>
      </c>
      <c r="I83" s="5">
        <f t="shared" si="1"/>
        <v>2.9740587846600164E-2</v>
      </c>
    </row>
    <row r="84" spans="2:9" x14ac:dyDescent="0.2">
      <c r="B84" s="4" t="s">
        <v>245</v>
      </c>
      <c r="C84" s="5">
        <v>404.39249999999998</v>
      </c>
      <c r="D84" s="5">
        <v>737</v>
      </c>
      <c r="E84" s="5" t="s">
        <v>1575</v>
      </c>
      <c r="F84" s="5" t="s">
        <v>1575</v>
      </c>
      <c r="G84" s="5" t="s">
        <v>1576</v>
      </c>
      <c r="I84" s="5">
        <f t="shared" si="1"/>
        <v>-5.78821969065757E-3</v>
      </c>
    </row>
    <row r="85" spans="2:9" x14ac:dyDescent="0.2">
      <c r="B85" s="4" t="s">
        <v>249</v>
      </c>
      <c r="C85" s="5">
        <v>406.74</v>
      </c>
      <c r="D85" s="5">
        <v>279</v>
      </c>
      <c r="E85" s="5" t="s">
        <v>1577</v>
      </c>
      <c r="F85" s="5" t="s">
        <v>1578</v>
      </c>
      <c r="G85" s="5" t="s">
        <v>1576</v>
      </c>
      <c r="I85" s="5">
        <f t="shared" si="1"/>
        <v>-3.48509372257233E-3</v>
      </c>
    </row>
    <row r="86" spans="2:9" x14ac:dyDescent="0.2">
      <c r="B86" s="4" t="s">
        <v>251</v>
      </c>
      <c r="C86" s="5">
        <v>408.16</v>
      </c>
      <c r="D86" s="5">
        <v>977</v>
      </c>
      <c r="E86" s="5" t="s">
        <v>1579</v>
      </c>
      <c r="F86" s="5" t="s">
        <v>1580</v>
      </c>
      <c r="G86" s="5" t="s">
        <v>1581</v>
      </c>
      <c r="I86" s="5">
        <f t="shared" si="1"/>
        <v>-6.4472236609018907E-3</v>
      </c>
    </row>
    <row r="87" spans="2:9" x14ac:dyDescent="0.2">
      <c r="B87" s="4" t="s">
        <v>253</v>
      </c>
      <c r="C87" s="5">
        <v>410.8</v>
      </c>
      <c r="D87" s="5">
        <v>334</v>
      </c>
      <c r="E87" s="5" t="s">
        <v>1582</v>
      </c>
      <c r="F87" s="5" t="s">
        <v>1583</v>
      </c>
      <c r="G87" s="5" t="s">
        <v>1584</v>
      </c>
      <c r="I87" s="5">
        <f t="shared" si="1"/>
        <v>-3.1155167779795434E-2</v>
      </c>
    </row>
    <row r="88" spans="2:9" x14ac:dyDescent="0.2">
      <c r="B88" s="4" t="s">
        <v>256</v>
      </c>
      <c r="C88" s="5">
        <v>423.8</v>
      </c>
      <c r="D88" s="5">
        <v>380</v>
      </c>
      <c r="E88" s="5" t="s">
        <v>1585</v>
      </c>
      <c r="F88" s="5" t="s">
        <v>1586</v>
      </c>
      <c r="G88" s="5" t="s">
        <v>1388</v>
      </c>
      <c r="I88" s="5">
        <f t="shared" si="1"/>
        <v>2.465854639384979E-2</v>
      </c>
    </row>
    <row r="89" spans="2:9" x14ac:dyDescent="0.2">
      <c r="B89" s="6">
        <v>46002</v>
      </c>
      <c r="C89" s="5">
        <v>413.47750000000002</v>
      </c>
      <c r="D89" s="5">
        <v>395</v>
      </c>
      <c r="E89" s="5" t="s">
        <v>1587</v>
      </c>
      <c r="F89" s="5" t="s">
        <v>1587</v>
      </c>
      <c r="G89" s="5" t="s">
        <v>1588</v>
      </c>
      <c r="I89" s="5">
        <f t="shared" si="1"/>
        <v>1.0586588689553977E-3</v>
      </c>
    </row>
    <row r="90" spans="2:9" x14ac:dyDescent="0.2">
      <c r="B90" s="6">
        <v>45972</v>
      </c>
      <c r="C90" s="5">
        <v>413.04</v>
      </c>
      <c r="D90" s="5">
        <v>370</v>
      </c>
      <c r="E90" s="5" t="s">
        <v>1589</v>
      </c>
      <c r="F90" s="5" t="s">
        <v>1590</v>
      </c>
      <c r="G90" s="5" t="s">
        <v>1591</v>
      </c>
      <c r="I90" s="5">
        <f t="shared" si="1"/>
        <v>-7.4292396313007103E-3</v>
      </c>
    </row>
    <row r="91" spans="2:9" x14ac:dyDescent="0.2">
      <c r="B91" s="6">
        <v>45941</v>
      </c>
      <c r="C91" s="5">
        <v>416.12</v>
      </c>
      <c r="D91" s="5">
        <v>452</v>
      </c>
      <c r="E91" s="5" t="s">
        <v>1592</v>
      </c>
      <c r="F91" s="5" t="s">
        <v>1592</v>
      </c>
      <c r="G91" s="5" t="s">
        <v>1593</v>
      </c>
      <c r="I91" s="5">
        <f t="shared" si="1"/>
        <v>1.9706505798533058E-2</v>
      </c>
    </row>
    <row r="92" spans="2:9" x14ac:dyDescent="0.2">
      <c r="B92" s="6">
        <v>45849</v>
      </c>
      <c r="C92" s="5">
        <v>408</v>
      </c>
      <c r="D92" s="5">
        <v>199</v>
      </c>
      <c r="E92" s="5" t="s">
        <v>1594</v>
      </c>
      <c r="F92" s="5" t="s">
        <v>1594</v>
      </c>
      <c r="G92" s="5" t="s">
        <v>1595</v>
      </c>
      <c r="I92" s="5">
        <f t="shared" si="1"/>
        <v>-5.6360483833159947E-3</v>
      </c>
    </row>
    <row r="93" spans="2:9" x14ac:dyDescent="0.2">
      <c r="B93" s="6">
        <v>45819</v>
      </c>
      <c r="C93" s="5">
        <v>410.30599999999998</v>
      </c>
      <c r="D93" s="5">
        <v>320</v>
      </c>
      <c r="E93" s="5" t="s">
        <v>1596</v>
      </c>
      <c r="F93" s="5" t="s">
        <v>1597</v>
      </c>
      <c r="G93" s="5" t="s">
        <v>1598</v>
      </c>
      <c r="I93" s="5">
        <f t="shared" si="1"/>
        <v>-3.9224837646226973E-2</v>
      </c>
    </row>
    <row r="94" spans="2:9" x14ac:dyDescent="0.2">
      <c r="B94" s="6">
        <v>45788</v>
      </c>
      <c r="C94" s="5">
        <v>426.72</v>
      </c>
      <c r="D94" s="5">
        <v>697</v>
      </c>
      <c r="E94" s="5" t="s">
        <v>1599</v>
      </c>
      <c r="F94" s="5" t="s">
        <v>1599</v>
      </c>
      <c r="G94" s="5" t="s">
        <v>1600</v>
      </c>
      <c r="I94" s="5">
        <f t="shared" si="1"/>
        <v>5.4799293056921883E-3</v>
      </c>
    </row>
    <row r="95" spans="2:9" x14ac:dyDescent="0.2">
      <c r="B95" s="6">
        <v>45758</v>
      </c>
      <c r="C95" s="5">
        <v>424.38799999999998</v>
      </c>
      <c r="D95" s="5">
        <v>563</v>
      </c>
      <c r="E95" s="5" t="s">
        <v>1601</v>
      </c>
      <c r="F95" s="5" t="s">
        <v>1602</v>
      </c>
      <c r="G95" s="5" t="s">
        <v>1603</v>
      </c>
      <c r="I95" s="5">
        <f t="shared" si="1"/>
        <v>1.8384309757878192E-2</v>
      </c>
    </row>
    <row r="96" spans="2:9" x14ac:dyDescent="0.2">
      <c r="B96" s="6">
        <v>45727</v>
      </c>
      <c r="C96" s="5">
        <v>416.65719999999999</v>
      </c>
      <c r="D96" s="5">
        <v>626</v>
      </c>
      <c r="E96" s="5" t="s">
        <v>1604</v>
      </c>
      <c r="F96" s="5" t="s">
        <v>1605</v>
      </c>
      <c r="G96" s="5" t="s">
        <v>1606</v>
      </c>
      <c r="I96" s="5">
        <f t="shared" si="1"/>
        <v>-3.4725550824093787E-2</v>
      </c>
    </row>
    <row r="97" spans="2:9" x14ac:dyDescent="0.2">
      <c r="B97" s="4" t="s">
        <v>283</v>
      </c>
      <c r="C97" s="5">
        <v>431.38</v>
      </c>
      <c r="D97" s="5">
        <v>282</v>
      </c>
      <c r="E97" s="5" t="s">
        <v>1608</v>
      </c>
      <c r="F97" s="5" t="s">
        <v>1607</v>
      </c>
      <c r="G97" s="5" t="s">
        <v>1609</v>
      </c>
      <c r="I97" s="5">
        <f t="shared" si="1"/>
        <v>-1.9548963143428466E-2</v>
      </c>
    </row>
    <row r="98" spans="2:9" x14ac:dyDescent="0.2">
      <c r="B98" s="4" t="s">
        <v>286</v>
      </c>
      <c r="C98" s="5">
        <v>439.89600000000002</v>
      </c>
      <c r="D98" s="5">
        <v>279</v>
      </c>
      <c r="E98" s="5" t="s">
        <v>1469</v>
      </c>
      <c r="F98" s="5" t="s">
        <v>1610</v>
      </c>
      <c r="G98" s="5" t="s">
        <v>1611</v>
      </c>
      <c r="I98" s="5">
        <f t="shared" si="1"/>
        <v>-8.3280459413348495E-4</v>
      </c>
    </row>
    <row r="99" spans="2:9" x14ac:dyDescent="0.2">
      <c r="B99" s="4" t="s">
        <v>290</v>
      </c>
      <c r="C99" s="5">
        <v>440.26249999999999</v>
      </c>
      <c r="D99" s="5">
        <v>412</v>
      </c>
      <c r="E99" s="5" t="s">
        <v>1612</v>
      </c>
      <c r="F99" s="5" t="s">
        <v>1612</v>
      </c>
      <c r="G99" s="5" t="s">
        <v>1613</v>
      </c>
      <c r="I99" s="5">
        <f t="shared" si="1"/>
        <v>2.096958941148408E-2</v>
      </c>
    </row>
    <row r="100" spans="2:9" x14ac:dyDescent="0.2">
      <c r="B100" s="4" t="s">
        <v>294</v>
      </c>
      <c r="C100" s="5">
        <v>431.12650000000002</v>
      </c>
      <c r="D100" s="5">
        <v>526</v>
      </c>
      <c r="E100" s="5" t="s">
        <v>1614</v>
      </c>
      <c r="F100" s="5" t="s">
        <v>1615</v>
      </c>
      <c r="G100" s="5" t="s">
        <v>1616</v>
      </c>
      <c r="I100" s="5">
        <f t="shared" si="1"/>
        <v>-1.0341205842767209E-2</v>
      </c>
    </row>
    <row r="101" spans="2:9" x14ac:dyDescent="0.2">
      <c r="B101" s="4" t="s">
        <v>296</v>
      </c>
      <c r="C101" s="5">
        <v>435.608</v>
      </c>
      <c r="D101" s="5">
        <v>872</v>
      </c>
      <c r="E101" s="5" t="s">
        <v>1617</v>
      </c>
      <c r="F101" s="5" t="s">
        <v>1618</v>
      </c>
      <c r="G101" s="5" t="s">
        <v>1619</v>
      </c>
      <c r="I101" s="5">
        <f t="shared" si="1"/>
        <v>9.8761356969667702E-4</v>
      </c>
    </row>
    <row r="102" spans="2:9" x14ac:dyDescent="0.2">
      <c r="B102" s="4" t="s">
        <v>300</v>
      </c>
      <c r="C102" s="5">
        <v>435.178</v>
      </c>
      <c r="D102" s="5">
        <v>1281</v>
      </c>
      <c r="E102" s="5" t="s">
        <v>1620</v>
      </c>
      <c r="F102" s="5" t="s">
        <v>1621</v>
      </c>
      <c r="G102" s="5" t="s">
        <v>1620</v>
      </c>
      <c r="I102" s="5">
        <f t="shared" si="1"/>
        <v>-3.6598721590059391E-2</v>
      </c>
    </row>
    <row r="103" spans="2:9" x14ac:dyDescent="0.2">
      <c r="B103" s="4" t="s">
        <v>303</v>
      </c>
      <c r="C103" s="5">
        <v>451.4</v>
      </c>
      <c r="D103" s="5">
        <v>295</v>
      </c>
      <c r="E103" s="5" t="s">
        <v>1622</v>
      </c>
      <c r="F103" s="5" t="s">
        <v>1622</v>
      </c>
      <c r="G103" s="5" t="s">
        <v>1623</v>
      </c>
      <c r="I103" s="5">
        <f t="shared" si="1"/>
        <v>4.7752941969121387E-2</v>
      </c>
    </row>
    <row r="104" spans="2:9" x14ac:dyDescent="0.2">
      <c r="B104" s="4" t="s">
        <v>307</v>
      </c>
      <c r="C104" s="5">
        <v>430.35090000000002</v>
      </c>
      <c r="D104" s="5">
        <v>106</v>
      </c>
      <c r="E104" s="5" t="s">
        <v>1624</v>
      </c>
      <c r="F104" s="5" t="s">
        <v>1625</v>
      </c>
      <c r="G104" s="5" t="s">
        <v>1623</v>
      </c>
      <c r="I104" s="5">
        <f t="shared" si="1"/>
        <v>-6.9230865980589584E-2</v>
      </c>
    </row>
    <row r="105" spans="2:9" x14ac:dyDescent="0.2">
      <c r="B105" s="4" t="s">
        <v>312</v>
      </c>
      <c r="C105" s="5">
        <v>461.2</v>
      </c>
      <c r="D105" s="5">
        <v>494</v>
      </c>
      <c r="E105" s="5" t="s">
        <v>1626</v>
      </c>
      <c r="F105" s="5" t="s">
        <v>1627</v>
      </c>
      <c r="G105" s="5" t="s">
        <v>1628</v>
      </c>
      <c r="I105" s="5">
        <f t="shared" si="1"/>
        <v>2.3340534865281093E-2</v>
      </c>
    </row>
    <row r="106" spans="2:9" x14ac:dyDescent="0.2">
      <c r="B106" s="4" t="s">
        <v>315</v>
      </c>
      <c r="C106" s="5">
        <v>450.56</v>
      </c>
      <c r="D106" s="5">
        <v>232</v>
      </c>
      <c r="E106" s="5" t="s">
        <v>1629</v>
      </c>
      <c r="F106" s="5" t="s">
        <v>1630</v>
      </c>
      <c r="G106" s="5" t="s">
        <v>1533</v>
      </c>
      <c r="I106" s="5">
        <f t="shared" si="1"/>
        <v>1.3316251999526685E-2</v>
      </c>
    </row>
    <row r="107" spans="2:9" x14ac:dyDescent="0.2">
      <c r="B107" s="4" t="s">
        <v>318</v>
      </c>
      <c r="C107" s="5">
        <v>444.6</v>
      </c>
      <c r="D107" s="5">
        <v>1002</v>
      </c>
      <c r="E107" s="5" t="s">
        <v>1631</v>
      </c>
      <c r="F107" s="5" t="s">
        <v>1632</v>
      </c>
      <c r="G107" s="5" t="s">
        <v>1469</v>
      </c>
      <c r="I107" s="5">
        <f t="shared" si="1"/>
        <v>-1.5478330635767534E-2</v>
      </c>
    </row>
    <row r="108" spans="2:9" x14ac:dyDescent="0.2">
      <c r="B108" s="4" t="s">
        <v>322</v>
      </c>
      <c r="C108" s="5">
        <v>451.53519999999997</v>
      </c>
      <c r="D108" s="5">
        <v>224</v>
      </c>
      <c r="E108" s="5" t="s">
        <v>1633</v>
      </c>
      <c r="F108" s="5" t="s">
        <v>1634</v>
      </c>
      <c r="G108" s="5" t="s">
        <v>1635</v>
      </c>
      <c r="I108" s="5">
        <f t="shared" si="1"/>
        <v>2.7015615040632213E-2</v>
      </c>
    </row>
    <row r="109" spans="2:9" x14ac:dyDescent="0.2">
      <c r="B109" s="4" t="s">
        <v>326</v>
      </c>
      <c r="C109" s="5">
        <v>439.5</v>
      </c>
      <c r="D109" s="5">
        <v>131</v>
      </c>
      <c r="E109" s="5" t="s">
        <v>1636</v>
      </c>
      <c r="F109" s="5" t="s">
        <v>1415</v>
      </c>
      <c r="G109" s="5" t="s">
        <v>1395</v>
      </c>
      <c r="I109" s="5">
        <f t="shared" si="1"/>
        <v>8.0184098190425601E-3</v>
      </c>
    </row>
    <row r="110" spans="2:9" x14ac:dyDescent="0.2">
      <c r="B110" s="4" t="s">
        <v>330</v>
      </c>
      <c r="C110" s="5">
        <v>435.99</v>
      </c>
      <c r="D110" s="5">
        <v>174</v>
      </c>
      <c r="E110" s="5" t="s">
        <v>1637</v>
      </c>
      <c r="F110" s="5" t="s">
        <v>1637</v>
      </c>
      <c r="G110" s="5" t="s">
        <v>1638</v>
      </c>
      <c r="I110" s="5">
        <f t="shared" si="1"/>
        <v>2.2006940374454942E-2</v>
      </c>
    </row>
    <row r="111" spans="2:9" x14ac:dyDescent="0.2">
      <c r="B111" s="4" t="s">
        <v>335</v>
      </c>
      <c r="C111" s="5">
        <v>426.5</v>
      </c>
      <c r="D111" s="5">
        <v>913</v>
      </c>
      <c r="E111" s="5" t="s">
        <v>1639</v>
      </c>
      <c r="F111" s="5" t="s">
        <v>1472</v>
      </c>
      <c r="G111" s="5" t="s">
        <v>1640</v>
      </c>
      <c r="I111" s="5">
        <f t="shared" si="1"/>
        <v>-2.4091969025656468E-2</v>
      </c>
    </row>
    <row r="112" spans="2:9" x14ac:dyDescent="0.2">
      <c r="B112" s="6">
        <v>45940</v>
      </c>
      <c r="C112" s="5">
        <v>436.9</v>
      </c>
      <c r="D112" s="5">
        <v>526</v>
      </c>
      <c r="E112" s="5" t="s">
        <v>1641</v>
      </c>
      <c r="F112" s="5" t="s">
        <v>1487</v>
      </c>
      <c r="G112" s="5" t="s">
        <v>1642</v>
      </c>
      <c r="I112" s="5">
        <f t="shared" si="1"/>
        <v>6.5867630497296048E-3</v>
      </c>
    </row>
    <row r="113" spans="2:9" x14ac:dyDescent="0.2">
      <c r="B113" s="6">
        <v>45910</v>
      </c>
      <c r="C113" s="5">
        <v>434.0317</v>
      </c>
      <c r="D113" s="5">
        <v>159</v>
      </c>
      <c r="E113" s="5" t="s">
        <v>1643</v>
      </c>
      <c r="F113" s="5" t="s">
        <v>1643</v>
      </c>
      <c r="G113" s="5" t="s">
        <v>1644</v>
      </c>
      <c r="I113" s="5">
        <f t="shared" si="1"/>
        <v>-4.0785821392899102E-2</v>
      </c>
    </row>
    <row r="114" spans="2:9" x14ac:dyDescent="0.2">
      <c r="B114" s="6">
        <v>45879</v>
      </c>
      <c r="C114" s="5">
        <v>452.1</v>
      </c>
      <c r="D114" s="5">
        <v>146</v>
      </c>
      <c r="E114" s="5" t="s">
        <v>1645</v>
      </c>
      <c r="F114" s="5" t="s">
        <v>1645</v>
      </c>
      <c r="G114" s="5" t="s">
        <v>1646</v>
      </c>
      <c r="I114" s="5">
        <f t="shared" si="1"/>
        <v>3.8465413416399308E-2</v>
      </c>
    </row>
    <row r="115" spans="2:9" x14ac:dyDescent="0.2">
      <c r="B115" s="6">
        <v>45848</v>
      </c>
      <c r="C115" s="5">
        <v>435.04</v>
      </c>
      <c r="D115" s="5">
        <v>213</v>
      </c>
      <c r="E115" s="5" t="s">
        <v>1647</v>
      </c>
      <c r="F115" s="5" t="s">
        <v>1648</v>
      </c>
      <c r="G115" s="5" t="s">
        <v>1649</v>
      </c>
      <c r="I115" s="5">
        <f t="shared" si="1"/>
        <v>-1.2614338649933998E-2</v>
      </c>
    </row>
    <row r="116" spans="2:9" x14ac:dyDescent="0.2">
      <c r="B116" s="6">
        <v>45818</v>
      </c>
      <c r="C116" s="5">
        <v>440.5625</v>
      </c>
      <c r="D116" s="5">
        <v>150</v>
      </c>
      <c r="E116" s="5" t="s">
        <v>1650</v>
      </c>
      <c r="F116" s="5" t="s">
        <v>1651</v>
      </c>
      <c r="G116" s="5" t="s">
        <v>1652</v>
      </c>
      <c r="I116" s="5">
        <f t="shared" si="1"/>
        <v>1.0868897023574853E-2</v>
      </c>
    </row>
    <row r="117" spans="2:9" x14ac:dyDescent="0.2">
      <c r="B117" s="6">
        <v>45726</v>
      </c>
      <c r="C117" s="5">
        <v>435.8</v>
      </c>
      <c r="D117" s="5">
        <v>102</v>
      </c>
      <c r="E117" s="5" t="s">
        <v>1542</v>
      </c>
      <c r="F117" s="5" t="s">
        <v>1653</v>
      </c>
      <c r="G117" s="5" t="s">
        <v>1542</v>
      </c>
      <c r="I117" s="5">
        <f t="shared" si="1"/>
        <v>-3.4696248823145481E-2</v>
      </c>
    </row>
    <row r="118" spans="2:9" x14ac:dyDescent="0.2">
      <c r="B118" s="6">
        <v>45698</v>
      </c>
      <c r="C118" s="5">
        <v>451.18599999999998</v>
      </c>
      <c r="D118" s="5">
        <v>7785</v>
      </c>
      <c r="E118" s="5" t="s">
        <v>1654</v>
      </c>
      <c r="F118" s="5" t="s">
        <v>1655</v>
      </c>
      <c r="G118" s="5" t="s">
        <v>1656</v>
      </c>
      <c r="I118" s="5">
        <f t="shared" si="1"/>
        <v>2.9797756642069295E-2</v>
      </c>
    </row>
    <row r="119" spans="2:9" x14ac:dyDescent="0.2">
      <c r="B119" s="6">
        <v>45667</v>
      </c>
      <c r="C119" s="5">
        <v>437.94</v>
      </c>
      <c r="D119" s="5">
        <v>396</v>
      </c>
      <c r="E119" s="5" t="s">
        <v>1657</v>
      </c>
      <c r="F119" s="5" t="s">
        <v>1658</v>
      </c>
      <c r="G119" s="5" t="s">
        <v>1659</v>
      </c>
      <c r="I119" s="5">
        <f t="shared" si="1"/>
        <v>1.3656326447485156E-2</v>
      </c>
    </row>
    <row r="120" spans="2:9" x14ac:dyDescent="0.2">
      <c r="B120" s="4" t="s">
        <v>360</v>
      </c>
      <c r="C120" s="5">
        <v>432</v>
      </c>
      <c r="D120" s="5">
        <v>1947</v>
      </c>
      <c r="E120" s="5" t="s">
        <v>1661</v>
      </c>
      <c r="F120" s="5" t="s">
        <v>1661</v>
      </c>
      <c r="G120" s="5" t="s">
        <v>1393</v>
      </c>
      <c r="I120" s="5">
        <f t="shared" si="1"/>
        <v>1.3958073357395406E-2</v>
      </c>
    </row>
    <row r="121" spans="2:9" x14ac:dyDescent="0.2">
      <c r="B121" s="4" t="s">
        <v>363</v>
      </c>
      <c r="C121" s="5">
        <v>426.012</v>
      </c>
      <c r="D121" s="5">
        <v>185</v>
      </c>
      <c r="E121" s="5" t="s">
        <v>1662</v>
      </c>
      <c r="F121" s="5" t="s">
        <v>1662</v>
      </c>
      <c r="G121" s="5" t="s">
        <v>1663</v>
      </c>
      <c r="I121" s="5">
        <f t="shared" si="1"/>
        <v>-1.696281385914844E-2</v>
      </c>
    </row>
    <row r="122" spans="2:9" x14ac:dyDescent="0.2">
      <c r="B122" s="4" t="s">
        <v>365</v>
      </c>
      <c r="C122" s="5">
        <v>433.3</v>
      </c>
      <c r="D122" s="5">
        <v>623</v>
      </c>
      <c r="E122" s="5" t="s">
        <v>1664</v>
      </c>
      <c r="F122" s="5" t="s">
        <v>1532</v>
      </c>
      <c r="G122" s="5" t="s">
        <v>1665</v>
      </c>
      <c r="I122" s="5">
        <f t="shared" si="1"/>
        <v>2.8868756509882409E-2</v>
      </c>
    </row>
    <row r="123" spans="2:9" x14ac:dyDescent="0.2">
      <c r="B123" s="4" t="s">
        <v>367</v>
      </c>
      <c r="C123" s="5">
        <v>420.97</v>
      </c>
      <c r="D123" s="5">
        <v>273</v>
      </c>
      <c r="E123" s="5" t="s">
        <v>1666</v>
      </c>
      <c r="F123" s="5" t="s">
        <v>1667</v>
      </c>
      <c r="G123" s="5" t="s">
        <v>1668</v>
      </c>
      <c r="I123" s="5">
        <f t="shared" si="1"/>
        <v>-1.4643897834677233E-2</v>
      </c>
    </row>
    <row r="124" spans="2:9" x14ac:dyDescent="0.2">
      <c r="B124" s="4" t="s">
        <v>370</v>
      </c>
      <c r="C124" s="5">
        <v>427.18</v>
      </c>
      <c r="D124" s="5">
        <v>727</v>
      </c>
      <c r="E124" s="5" t="s">
        <v>1669</v>
      </c>
      <c r="F124" s="5" t="s">
        <v>1670</v>
      </c>
      <c r="G124" s="5" t="s">
        <v>1671</v>
      </c>
      <c r="I124" s="5">
        <f t="shared" si="1"/>
        <v>-3.0682273572296914E-2</v>
      </c>
    </row>
    <row r="125" spans="2:9" x14ac:dyDescent="0.2">
      <c r="B125" s="4" t="s">
        <v>374</v>
      </c>
      <c r="C125" s="5">
        <v>440.49</v>
      </c>
      <c r="D125" s="5">
        <v>130</v>
      </c>
      <c r="E125" s="5" t="s">
        <v>1672</v>
      </c>
      <c r="F125" s="5" t="s">
        <v>1673</v>
      </c>
      <c r="G125" s="5" t="s">
        <v>1674</v>
      </c>
      <c r="I125" s="5">
        <f t="shared" si="1"/>
        <v>2.8927645472967889E-2</v>
      </c>
    </row>
    <row r="126" spans="2:9" x14ac:dyDescent="0.2">
      <c r="B126" s="4" t="s">
        <v>377</v>
      </c>
      <c r="C126" s="5">
        <v>427.93020000000001</v>
      </c>
      <c r="D126" s="5">
        <v>130</v>
      </c>
      <c r="E126" s="5" t="s">
        <v>1675</v>
      </c>
      <c r="F126" s="5" t="s">
        <v>1676</v>
      </c>
      <c r="G126" s="5" t="s">
        <v>1677</v>
      </c>
      <c r="I126" s="5">
        <f t="shared" si="1"/>
        <v>-4.7782126582076145E-2</v>
      </c>
    </row>
    <row r="127" spans="2:9" x14ac:dyDescent="0.2">
      <c r="B127" s="4" t="s">
        <v>379</v>
      </c>
      <c r="C127" s="5">
        <v>448.87400000000002</v>
      </c>
      <c r="D127" s="5">
        <v>138</v>
      </c>
      <c r="E127" s="5" t="s">
        <v>1400</v>
      </c>
      <c r="F127" s="5" t="s">
        <v>1678</v>
      </c>
      <c r="G127" s="5" t="s">
        <v>1679</v>
      </c>
      <c r="I127" s="5">
        <f t="shared" si="1"/>
        <v>1.9399477375748653E-2</v>
      </c>
    </row>
    <row r="128" spans="2:9" x14ac:dyDescent="0.2">
      <c r="B128" s="4" t="s">
        <v>382</v>
      </c>
      <c r="C128" s="5">
        <v>440.25</v>
      </c>
      <c r="D128" s="5">
        <v>144</v>
      </c>
      <c r="E128" s="5" t="s">
        <v>1681</v>
      </c>
      <c r="F128" s="5" t="s">
        <v>1682</v>
      </c>
      <c r="G128" s="5" t="s">
        <v>1680</v>
      </c>
      <c r="I128" s="5">
        <f t="shared" si="1"/>
        <v>1.4775248468490432E-3</v>
      </c>
    </row>
    <row r="129" spans="2:9" x14ac:dyDescent="0.2">
      <c r="B129" s="4" t="s">
        <v>383</v>
      </c>
      <c r="C129" s="5">
        <v>439.6</v>
      </c>
      <c r="D129" s="5">
        <v>517</v>
      </c>
      <c r="E129" s="5" t="s">
        <v>1683</v>
      </c>
      <c r="F129" s="5" t="s">
        <v>1684</v>
      </c>
      <c r="G129" s="5" t="s">
        <v>1683</v>
      </c>
      <c r="I129" s="5">
        <f t="shared" si="1"/>
        <v>-3.5837801502244915E-2</v>
      </c>
    </row>
    <row r="130" spans="2:9" x14ac:dyDescent="0.2">
      <c r="B130" s="4" t="s">
        <v>385</v>
      </c>
      <c r="C130" s="5">
        <v>455.64</v>
      </c>
      <c r="D130" s="5">
        <v>421</v>
      </c>
      <c r="E130" s="5" t="s">
        <v>1685</v>
      </c>
      <c r="F130" s="5" t="s">
        <v>1686</v>
      </c>
      <c r="G130" s="5" t="s">
        <v>1687</v>
      </c>
      <c r="I130" s="5">
        <f t="shared" si="1"/>
        <v>-2.8396419473576628E-2</v>
      </c>
    </row>
    <row r="131" spans="2:9" x14ac:dyDescent="0.2">
      <c r="B131" s="4" t="s">
        <v>386</v>
      </c>
      <c r="C131" s="5">
        <v>468.76400000000001</v>
      </c>
      <c r="D131" s="5">
        <v>207</v>
      </c>
      <c r="E131" s="5" t="s">
        <v>1685</v>
      </c>
      <c r="F131" s="5" t="s">
        <v>1688</v>
      </c>
      <c r="G131" s="5" t="s">
        <v>1685</v>
      </c>
      <c r="I131" s="5">
        <f t="shared" si="1"/>
        <v>5.3923591431143336E-2</v>
      </c>
    </row>
    <row r="132" spans="2:9" x14ac:dyDescent="0.2">
      <c r="B132" s="6">
        <v>46000</v>
      </c>
      <c r="C132" s="5">
        <v>444.15600000000001</v>
      </c>
      <c r="D132" s="5">
        <v>180</v>
      </c>
      <c r="E132" s="5" t="s">
        <v>1690</v>
      </c>
      <c r="F132" s="5" t="s">
        <v>1691</v>
      </c>
      <c r="G132" s="5" t="s">
        <v>1689</v>
      </c>
      <c r="I132" s="5">
        <f t="shared" si="1"/>
        <v>-1.4080110992757966E-2</v>
      </c>
    </row>
    <row r="133" spans="2:9" x14ac:dyDescent="0.2">
      <c r="B133" s="6">
        <v>45970</v>
      </c>
      <c r="C133" s="5">
        <v>450.45400000000001</v>
      </c>
      <c r="D133" s="5">
        <v>162</v>
      </c>
      <c r="E133" s="5" t="s">
        <v>1692</v>
      </c>
      <c r="F133" s="5" t="s">
        <v>1692</v>
      </c>
      <c r="G133" s="5" t="s">
        <v>1693</v>
      </c>
      <c r="I133" s="5">
        <f t="shared" ref="I133:I196" si="2">LN(C133)-LN(C134)</f>
        <v>-3.8464824236452699E-3</v>
      </c>
    </row>
    <row r="134" spans="2:9" x14ac:dyDescent="0.2">
      <c r="B134" s="6">
        <v>45939</v>
      </c>
      <c r="C134" s="5">
        <v>452.19</v>
      </c>
      <c r="D134" s="5">
        <v>160</v>
      </c>
      <c r="E134" s="5" t="s">
        <v>1694</v>
      </c>
      <c r="F134" s="5" t="s">
        <v>1695</v>
      </c>
      <c r="G134" s="5" t="s">
        <v>1696</v>
      </c>
      <c r="I134" s="5">
        <f t="shared" si="2"/>
        <v>-2.1843325428208438E-2</v>
      </c>
    </row>
    <row r="135" spans="2:9" x14ac:dyDescent="0.2">
      <c r="B135" s="6">
        <v>45909</v>
      </c>
      <c r="C135" s="5">
        <v>462.17599999999999</v>
      </c>
      <c r="D135" s="5">
        <v>450</v>
      </c>
      <c r="E135" s="5" t="s">
        <v>1698</v>
      </c>
      <c r="F135" s="5" t="s">
        <v>1698</v>
      </c>
      <c r="G135" s="5" t="s">
        <v>1697</v>
      </c>
      <c r="I135" s="5">
        <f t="shared" si="2"/>
        <v>-1.0115784968325769E-2</v>
      </c>
    </row>
    <row r="136" spans="2:9" x14ac:dyDescent="0.2">
      <c r="B136" s="6">
        <v>45878</v>
      </c>
      <c r="C136" s="5">
        <v>466.875</v>
      </c>
      <c r="D136" s="5">
        <v>198</v>
      </c>
      <c r="E136" s="5" t="s">
        <v>1699</v>
      </c>
      <c r="F136" s="5" t="s">
        <v>1424</v>
      </c>
      <c r="G136" s="5" t="s">
        <v>1700</v>
      </c>
      <c r="I136" s="5">
        <f t="shared" si="2"/>
        <v>-1.9776378165680342E-2</v>
      </c>
    </row>
    <row r="137" spans="2:9" x14ac:dyDescent="0.2">
      <c r="B137" s="6">
        <v>45786</v>
      </c>
      <c r="C137" s="5">
        <v>476.2</v>
      </c>
      <c r="D137" s="5">
        <v>285</v>
      </c>
      <c r="E137" s="5" t="s">
        <v>1701</v>
      </c>
      <c r="F137" s="5" t="s">
        <v>1424</v>
      </c>
      <c r="G137" s="5" t="s">
        <v>1702</v>
      </c>
      <c r="I137" s="5">
        <f t="shared" si="2"/>
        <v>1.204197502732729E-2</v>
      </c>
    </row>
    <row r="138" spans="2:9" x14ac:dyDescent="0.2">
      <c r="B138" s="6">
        <v>45756</v>
      </c>
      <c r="C138" s="5">
        <v>470.5</v>
      </c>
      <c r="D138" s="5">
        <v>2094</v>
      </c>
      <c r="E138" s="5" t="s">
        <v>1703</v>
      </c>
      <c r="F138" s="5" t="s">
        <v>1701</v>
      </c>
      <c r="G138" s="5" t="s">
        <v>1702</v>
      </c>
      <c r="I138" s="5">
        <f t="shared" si="2"/>
        <v>-9.5188450092065224E-3</v>
      </c>
    </row>
    <row r="139" spans="2:9" x14ac:dyDescent="0.2">
      <c r="B139" s="6">
        <v>45725</v>
      </c>
      <c r="C139" s="5">
        <v>475</v>
      </c>
      <c r="D139" s="5">
        <v>204</v>
      </c>
      <c r="E139" s="5" t="s">
        <v>1705</v>
      </c>
      <c r="F139" s="5" t="s">
        <v>1704</v>
      </c>
      <c r="G139" s="5" t="s">
        <v>1706</v>
      </c>
      <c r="I139" s="5">
        <f t="shared" si="2"/>
        <v>1.3138565771838806E-2</v>
      </c>
    </row>
    <row r="140" spans="2:9" x14ac:dyDescent="0.2">
      <c r="B140" s="6">
        <v>45697</v>
      </c>
      <c r="C140" s="5">
        <v>468.8</v>
      </c>
      <c r="D140" s="5">
        <v>1212</v>
      </c>
      <c r="E140" s="5" t="s">
        <v>1708</v>
      </c>
      <c r="F140" s="5" t="s">
        <v>1707</v>
      </c>
      <c r="G140" s="5" t="s">
        <v>1709</v>
      </c>
      <c r="I140" s="5">
        <f t="shared" si="2"/>
        <v>-9.7222103538623372E-3</v>
      </c>
    </row>
    <row r="141" spans="2:9" x14ac:dyDescent="0.2">
      <c r="B141" s="4" t="s">
        <v>400</v>
      </c>
      <c r="C141" s="5">
        <v>473.38</v>
      </c>
      <c r="D141" s="5">
        <v>97</v>
      </c>
      <c r="E141" s="5" t="s">
        <v>1710</v>
      </c>
      <c r="F141" s="5" t="s">
        <v>1711</v>
      </c>
      <c r="G141" s="5" t="s">
        <v>1712</v>
      </c>
      <c r="I141" s="5">
        <f t="shared" si="2"/>
        <v>-5.7294675838086562E-3</v>
      </c>
    </row>
    <row r="142" spans="2:9" x14ac:dyDescent="0.2">
      <c r="B142" s="4" t="s">
        <v>401</v>
      </c>
      <c r="C142" s="5">
        <v>476.1</v>
      </c>
      <c r="D142" s="5">
        <v>175</v>
      </c>
      <c r="E142" s="5" t="s">
        <v>1713</v>
      </c>
      <c r="F142" s="5" t="s">
        <v>1713</v>
      </c>
      <c r="G142" s="5" t="s">
        <v>1714</v>
      </c>
      <c r="I142" s="5">
        <f t="shared" si="2"/>
        <v>2.6710709622808082E-3</v>
      </c>
    </row>
    <row r="143" spans="2:9" x14ac:dyDescent="0.2">
      <c r="B143" s="4" t="s">
        <v>404</v>
      </c>
      <c r="C143" s="5">
        <v>474.83</v>
      </c>
      <c r="D143" s="5">
        <v>250</v>
      </c>
      <c r="E143" s="5" t="s">
        <v>1428</v>
      </c>
      <c r="F143" s="5" t="s">
        <v>1428</v>
      </c>
      <c r="G143" s="5" t="s">
        <v>1715</v>
      </c>
      <c r="I143" s="5">
        <f t="shared" si="2"/>
        <v>9.8497525446568091E-3</v>
      </c>
    </row>
    <row r="144" spans="2:9" x14ac:dyDescent="0.2">
      <c r="B144" s="4" t="s">
        <v>407</v>
      </c>
      <c r="C144" s="5">
        <v>470.17599999999999</v>
      </c>
      <c r="D144" s="5">
        <v>213</v>
      </c>
      <c r="E144" s="5" t="s">
        <v>1717</v>
      </c>
      <c r="F144" s="5" t="s">
        <v>1716</v>
      </c>
      <c r="G144" s="5" t="s">
        <v>1718</v>
      </c>
      <c r="I144" s="5">
        <f t="shared" si="2"/>
        <v>-7.2137602548298929E-3</v>
      </c>
    </row>
    <row r="145" spans="2:9" x14ac:dyDescent="0.2">
      <c r="B145" s="4" t="s">
        <v>410</v>
      </c>
      <c r="C145" s="5">
        <v>473.58</v>
      </c>
      <c r="D145" s="5">
        <v>110</v>
      </c>
      <c r="E145" s="5" t="s">
        <v>1719</v>
      </c>
      <c r="F145" s="5" t="s">
        <v>1719</v>
      </c>
      <c r="G145" s="5" t="s">
        <v>1720</v>
      </c>
      <c r="I145" s="5">
        <f t="shared" si="2"/>
        <v>1.6894032223291333E-4</v>
      </c>
    </row>
    <row r="146" spans="2:9" x14ac:dyDescent="0.2">
      <c r="B146" s="4" t="s">
        <v>412</v>
      </c>
      <c r="C146" s="5">
        <v>473.5</v>
      </c>
      <c r="D146" s="5">
        <v>820</v>
      </c>
      <c r="E146" s="5" t="s">
        <v>1722</v>
      </c>
      <c r="F146" s="5" t="s">
        <v>1721</v>
      </c>
      <c r="G146" s="5" t="s">
        <v>1723</v>
      </c>
      <c r="I146" s="5">
        <f t="shared" si="2"/>
        <v>-3.7521914213529683E-3</v>
      </c>
    </row>
    <row r="147" spans="2:9" x14ac:dyDescent="0.2">
      <c r="B147" s="4" t="s">
        <v>413</v>
      </c>
      <c r="C147" s="5">
        <v>475.28</v>
      </c>
      <c r="D147" s="5">
        <v>348</v>
      </c>
      <c r="E147" s="5" t="s">
        <v>1724</v>
      </c>
      <c r="F147" s="5" t="s">
        <v>1724</v>
      </c>
      <c r="G147" s="5" t="s">
        <v>1725</v>
      </c>
      <c r="I147" s="5">
        <f t="shared" si="2"/>
        <v>1.7146672533468355E-2</v>
      </c>
    </row>
    <row r="148" spans="2:9" x14ac:dyDescent="0.2">
      <c r="B148" s="4" t="s">
        <v>414</v>
      </c>
      <c r="C148" s="5">
        <v>467.2</v>
      </c>
      <c r="D148" s="5">
        <v>223</v>
      </c>
      <c r="E148" s="5" t="s">
        <v>1727</v>
      </c>
      <c r="F148" s="5" t="s">
        <v>1727</v>
      </c>
      <c r="G148" s="5" t="s">
        <v>1726</v>
      </c>
      <c r="I148" s="5">
        <f t="shared" si="2"/>
        <v>1.6009317303649517E-2</v>
      </c>
    </row>
    <row r="149" spans="2:9" x14ac:dyDescent="0.2">
      <c r="B149" s="4" t="s">
        <v>416</v>
      </c>
      <c r="C149" s="5">
        <v>459.78</v>
      </c>
      <c r="D149" s="5">
        <v>727</v>
      </c>
      <c r="E149" s="5" t="s">
        <v>1728</v>
      </c>
      <c r="F149" s="5" t="s">
        <v>1421</v>
      </c>
      <c r="G149" s="5" t="s">
        <v>1729</v>
      </c>
      <c r="I149" s="5">
        <f t="shared" si="2"/>
        <v>-1.166399399446405E-3</v>
      </c>
    </row>
    <row r="150" spans="2:9" x14ac:dyDescent="0.2">
      <c r="B150" s="4" t="s">
        <v>418</v>
      </c>
      <c r="C150" s="5">
        <v>460.31659999999999</v>
      </c>
      <c r="D150" s="5">
        <v>252</v>
      </c>
      <c r="E150" s="5" t="s">
        <v>1731</v>
      </c>
      <c r="F150" s="5" t="s">
        <v>1730</v>
      </c>
      <c r="G150" s="5" t="s">
        <v>1732</v>
      </c>
      <c r="I150" s="5">
        <f t="shared" si="2"/>
        <v>9.5861913069184013E-3</v>
      </c>
    </row>
    <row r="151" spans="2:9" x14ac:dyDescent="0.2">
      <c r="B151" s="4" t="s">
        <v>420</v>
      </c>
      <c r="C151" s="5">
        <v>455.92500000000001</v>
      </c>
      <c r="D151" s="5">
        <v>617</v>
      </c>
      <c r="E151" s="5" t="s">
        <v>1733</v>
      </c>
      <c r="F151" s="5" t="s">
        <v>1734</v>
      </c>
      <c r="G151" s="5" t="s">
        <v>1551</v>
      </c>
      <c r="I151" s="5">
        <f t="shared" si="2"/>
        <v>1.8338984353069243E-2</v>
      </c>
    </row>
    <row r="152" spans="2:9" x14ac:dyDescent="0.2">
      <c r="B152" s="4" t="s">
        <v>422</v>
      </c>
      <c r="C152" s="5">
        <v>447.64</v>
      </c>
      <c r="D152" s="5">
        <v>140</v>
      </c>
      <c r="E152" s="5" t="s">
        <v>1435</v>
      </c>
      <c r="F152" s="5" t="s">
        <v>1435</v>
      </c>
      <c r="G152" s="5" t="s">
        <v>1735</v>
      </c>
      <c r="I152" s="5">
        <f t="shared" si="2"/>
        <v>-1.9818396145868888E-2</v>
      </c>
    </row>
    <row r="153" spans="2:9" x14ac:dyDescent="0.2">
      <c r="B153" s="4" t="s">
        <v>424</v>
      </c>
      <c r="C153" s="5">
        <v>456.6</v>
      </c>
      <c r="D153" s="5">
        <v>172</v>
      </c>
      <c r="E153" s="5" t="s">
        <v>1737</v>
      </c>
      <c r="F153" s="5" t="s">
        <v>1736</v>
      </c>
      <c r="G153" s="5" t="s">
        <v>1487</v>
      </c>
      <c r="I153" s="5">
        <f t="shared" si="2"/>
        <v>1.7676112009587186E-2</v>
      </c>
    </row>
    <row r="154" spans="2:9" x14ac:dyDescent="0.2">
      <c r="B154" s="6">
        <v>45999</v>
      </c>
      <c r="C154" s="5">
        <v>448.6</v>
      </c>
      <c r="D154" s="5">
        <v>187</v>
      </c>
      <c r="E154" s="5" t="s">
        <v>1739</v>
      </c>
      <c r="F154" s="5" t="s">
        <v>1738</v>
      </c>
      <c r="G154" s="5" t="s">
        <v>1740</v>
      </c>
      <c r="I154" s="5">
        <f t="shared" si="2"/>
        <v>2.7205799208132042E-2</v>
      </c>
    </row>
    <row r="155" spans="2:9" x14ac:dyDescent="0.2">
      <c r="B155" s="6">
        <v>45969</v>
      </c>
      <c r="C155" s="5">
        <v>436.56</v>
      </c>
      <c r="D155" s="5">
        <v>341</v>
      </c>
      <c r="E155" s="5" t="s">
        <v>1742</v>
      </c>
      <c r="F155" s="5" t="s">
        <v>1743</v>
      </c>
      <c r="G155" s="5" t="s">
        <v>1741</v>
      </c>
      <c r="I155" s="5">
        <f t="shared" si="2"/>
        <v>-1.2361789912924692E-3</v>
      </c>
    </row>
    <row r="156" spans="2:9" x14ac:dyDescent="0.2">
      <c r="B156" s="6">
        <v>45877</v>
      </c>
      <c r="C156" s="5">
        <v>437.1</v>
      </c>
      <c r="D156" s="5">
        <v>155</v>
      </c>
      <c r="E156" s="5" t="s">
        <v>1744</v>
      </c>
      <c r="F156" s="5" t="s">
        <v>1744</v>
      </c>
      <c r="G156" s="5" t="s">
        <v>1745</v>
      </c>
      <c r="I156" s="5">
        <f t="shared" si="2"/>
        <v>3.4881171363911889E-3</v>
      </c>
    </row>
    <row r="157" spans="2:9" x14ac:dyDescent="0.2">
      <c r="B157" s="6">
        <v>45846</v>
      </c>
      <c r="C157" s="5">
        <v>435.57799999999997</v>
      </c>
      <c r="D157" s="5">
        <v>801</v>
      </c>
      <c r="E157" s="5" t="s">
        <v>1498</v>
      </c>
      <c r="F157" s="5" t="s">
        <v>1746</v>
      </c>
      <c r="G157" s="5" t="s">
        <v>1498</v>
      </c>
      <c r="I157" s="5">
        <f t="shared" si="2"/>
        <v>2.2098397496367106E-2</v>
      </c>
    </row>
    <row r="158" spans="2:9" x14ac:dyDescent="0.2">
      <c r="B158" s="6">
        <v>45816</v>
      </c>
      <c r="C158" s="5">
        <v>426.05799999999999</v>
      </c>
      <c r="D158" s="5">
        <v>203</v>
      </c>
      <c r="E158" s="5" t="s">
        <v>1747</v>
      </c>
      <c r="F158" s="5" t="s">
        <v>1747</v>
      </c>
      <c r="G158" s="5" t="s">
        <v>1604</v>
      </c>
      <c r="I158" s="5">
        <f t="shared" si="2"/>
        <v>-3.5289913165648557E-2</v>
      </c>
    </row>
    <row r="159" spans="2:9" x14ac:dyDescent="0.2">
      <c r="B159" s="6">
        <v>45785</v>
      </c>
      <c r="C159" s="5">
        <v>441.36200000000002</v>
      </c>
      <c r="D159" s="5">
        <v>97</v>
      </c>
      <c r="E159" s="5" t="s">
        <v>1749</v>
      </c>
      <c r="F159" s="5" t="s">
        <v>1748</v>
      </c>
      <c r="G159" s="5" t="s">
        <v>1750</v>
      </c>
      <c r="I159" s="5">
        <f t="shared" si="2"/>
        <v>1.7397069141090071E-2</v>
      </c>
    </row>
    <row r="160" spans="2:9" x14ac:dyDescent="0.2">
      <c r="B160" s="6">
        <v>45755</v>
      </c>
      <c r="C160" s="5">
        <v>433.75</v>
      </c>
      <c r="D160" s="5">
        <v>147</v>
      </c>
      <c r="E160" s="5" t="s">
        <v>1671</v>
      </c>
      <c r="F160" s="5" t="s">
        <v>1751</v>
      </c>
      <c r="G160" s="5" t="s">
        <v>1671</v>
      </c>
      <c r="I160" s="5">
        <f t="shared" si="2"/>
        <v>-2.3874115064157486E-2</v>
      </c>
    </row>
    <row r="161" spans="2:9" x14ac:dyDescent="0.2">
      <c r="B161" s="6">
        <v>45665</v>
      </c>
      <c r="C161" s="5">
        <v>444.23</v>
      </c>
      <c r="D161" s="5">
        <v>406</v>
      </c>
      <c r="E161" s="5" t="s">
        <v>1753</v>
      </c>
      <c r="F161" s="5" t="s">
        <v>1752</v>
      </c>
      <c r="G161" s="5" t="s">
        <v>1753</v>
      </c>
      <c r="I161" s="5">
        <f t="shared" si="2"/>
        <v>1.1296485595713612E-2</v>
      </c>
    </row>
    <row r="162" spans="2:9" x14ac:dyDescent="0.2">
      <c r="B162" s="4" t="s">
        <v>444</v>
      </c>
      <c r="C162" s="5">
        <v>439.24</v>
      </c>
      <c r="D162" s="5">
        <v>107</v>
      </c>
      <c r="E162" s="5" t="s">
        <v>1415</v>
      </c>
      <c r="F162" s="5" t="s">
        <v>1755</v>
      </c>
      <c r="G162" s="5" t="s">
        <v>1754</v>
      </c>
      <c r="I162" s="5">
        <f t="shared" si="2"/>
        <v>-1.7154627973134495E-2</v>
      </c>
    </row>
    <row r="163" spans="2:9" x14ac:dyDescent="0.2">
      <c r="B163" s="4" t="s">
        <v>448</v>
      </c>
      <c r="C163" s="5">
        <v>446.84</v>
      </c>
      <c r="D163" s="5">
        <v>193</v>
      </c>
      <c r="E163" s="5" t="s">
        <v>1415</v>
      </c>
      <c r="F163" s="5" t="s">
        <v>1415</v>
      </c>
      <c r="G163" s="5" t="s">
        <v>1400</v>
      </c>
      <c r="I163" s="5">
        <f t="shared" si="2"/>
        <v>1.2706834425142866E-2</v>
      </c>
    </row>
    <row r="164" spans="2:9" x14ac:dyDescent="0.2">
      <c r="B164" s="4" t="s">
        <v>451</v>
      </c>
      <c r="C164" s="5">
        <v>441.19799999999998</v>
      </c>
      <c r="D164" s="5">
        <v>321</v>
      </c>
      <c r="E164" s="5" t="s">
        <v>1757</v>
      </c>
      <c r="F164" s="5" t="s">
        <v>1756</v>
      </c>
      <c r="G164" s="5" t="s">
        <v>1758</v>
      </c>
      <c r="I164" s="5">
        <f t="shared" si="2"/>
        <v>1.6449220177099377E-2</v>
      </c>
    </row>
    <row r="165" spans="2:9" x14ac:dyDescent="0.2">
      <c r="B165" s="4" t="s">
        <v>454</v>
      </c>
      <c r="C165" s="5">
        <v>434</v>
      </c>
      <c r="D165" s="5">
        <v>140</v>
      </c>
      <c r="E165" s="5" t="s">
        <v>1759</v>
      </c>
      <c r="F165" s="5" t="s">
        <v>1759</v>
      </c>
      <c r="G165" s="5" t="s">
        <v>1760</v>
      </c>
      <c r="I165" s="5">
        <f t="shared" si="2"/>
        <v>4.8041481903737804E-3</v>
      </c>
    </row>
    <row r="166" spans="2:9" x14ac:dyDescent="0.2">
      <c r="B166" s="4" t="s">
        <v>458</v>
      </c>
      <c r="C166" s="5">
        <v>431.92</v>
      </c>
      <c r="D166" s="5">
        <v>123</v>
      </c>
      <c r="E166" s="5" t="s">
        <v>1762</v>
      </c>
      <c r="F166" s="5" t="s">
        <v>1762</v>
      </c>
      <c r="G166" s="5" t="s">
        <v>1761</v>
      </c>
      <c r="I166" s="5">
        <f t="shared" si="2"/>
        <v>-3.4207031922273146E-3</v>
      </c>
    </row>
    <row r="167" spans="2:9" x14ac:dyDescent="0.2">
      <c r="B167" s="4" t="s">
        <v>460</v>
      </c>
      <c r="C167" s="5">
        <v>433.4</v>
      </c>
      <c r="D167" s="5">
        <v>110</v>
      </c>
      <c r="E167" s="5" t="s">
        <v>1763</v>
      </c>
      <c r="F167" s="5" t="s">
        <v>1764</v>
      </c>
      <c r="G167" s="5" t="s">
        <v>1763</v>
      </c>
      <c r="I167" s="5">
        <f t="shared" si="2"/>
        <v>-1.0147134305462657E-3</v>
      </c>
    </row>
    <row r="168" spans="2:9" x14ac:dyDescent="0.2">
      <c r="B168" s="4" t="s">
        <v>463</v>
      </c>
      <c r="C168" s="5">
        <v>433.84</v>
      </c>
      <c r="D168" s="5">
        <v>266</v>
      </c>
      <c r="E168" s="5" t="s">
        <v>1765</v>
      </c>
      <c r="F168" s="5" t="s">
        <v>1766</v>
      </c>
      <c r="G168" s="5" t="s">
        <v>1767</v>
      </c>
      <c r="I168" s="5">
        <f t="shared" si="2"/>
        <v>3.0137985240822118E-2</v>
      </c>
    </row>
    <row r="169" spans="2:9" x14ac:dyDescent="0.2">
      <c r="B169" s="4" t="s">
        <v>466</v>
      </c>
      <c r="C169" s="5">
        <v>420.96</v>
      </c>
      <c r="D169" s="5">
        <v>137</v>
      </c>
      <c r="E169" s="5" t="s">
        <v>1768</v>
      </c>
      <c r="F169" s="5" t="s">
        <v>1769</v>
      </c>
      <c r="G169" s="5" t="s">
        <v>1386</v>
      </c>
      <c r="I169" s="5">
        <f t="shared" si="2"/>
        <v>-1.04468407810554E-3</v>
      </c>
    </row>
    <row r="170" spans="2:9" x14ac:dyDescent="0.2">
      <c r="B170" s="4" t="s">
        <v>469</v>
      </c>
      <c r="C170" s="5">
        <v>421.4</v>
      </c>
      <c r="D170" s="5">
        <v>318</v>
      </c>
      <c r="E170" s="5" t="s">
        <v>1771</v>
      </c>
      <c r="F170" s="5" t="s">
        <v>1772</v>
      </c>
      <c r="G170" s="5" t="s">
        <v>1771</v>
      </c>
      <c r="I170" s="5">
        <f t="shared" si="2"/>
        <v>-2.2084656270405567E-2</v>
      </c>
    </row>
    <row r="171" spans="2:9" x14ac:dyDescent="0.2">
      <c r="B171" s="4" t="s">
        <v>471</v>
      </c>
      <c r="C171" s="5">
        <v>430.81</v>
      </c>
      <c r="D171" s="5">
        <v>501</v>
      </c>
      <c r="E171" s="5" t="s">
        <v>1385</v>
      </c>
      <c r="F171" s="5" t="s">
        <v>1773</v>
      </c>
      <c r="G171" s="5" t="s">
        <v>1774</v>
      </c>
      <c r="I171" s="5">
        <f t="shared" si="2"/>
        <v>9.35163821289553E-3</v>
      </c>
    </row>
    <row r="172" spans="2:9" x14ac:dyDescent="0.2">
      <c r="B172" s="4" t="s">
        <v>474</v>
      </c>
      <c r="C172" s="5">
        <v>426.8</v>
      </c>
      <c r="D172" s="5">
        <v>426</v>
      </c>
      <c r="E172" s="5" t="s">
        <v>1775</v>
      </c>
      <c r="F172" s="5" t="s">
        <v>1775</v>
      </c>
      <c r="G172" s="5" t="s">
        <v>1776</v>
      </c>
      <c r="I172" s="5">
        <f t="shared" si="2"/>
        <v>1.9399709415698574E-2</v>
      </c>
    </row>
    <row r="173" spans="2:9" x14ac:dyDescent="0.2">
      <c r="B173" s="4" t="s">
        <v>477</v>
      </c>
      <c r="C173" s="5">
        <v>418.6</v>
      </c>
      <c r="D173" s="5">
        <v>488</v>
      </c>
      <c r="E173" s="5" t="s">
        <v>1778</v>
      </c>
      <c r="F173" s="5" t="s">
        <v>1779</v>
      </c>
      <c r="G173" s="5" t="s">
        <v>1777</v>
      </c>
      <c r="I173" s="5">
        <f t="shared" si="2"/>
        <v>-1.2411902540270248E-2</v>
      </c>
    </row>
    <row r="174" spans="2:9" x14ac:dyDescent="0.2">
      <c r="B174" s="4" t="s">
        <v>480</v>
      </c>
      <c r="C174" s="5">
        <v>423.82799999999997</v>
      </c>
      <c r="D174" s="5">
        <v>452</v>
      </c>
      <c r="E174" s="5" t="s">
        <v>1780</v>
      </c>
      <c r="F174" s="5" t="s">
        <v>1781</v>
      </c>
      <c r="G174" s="5" t="s">
        <v>1782</v>
      </c>
      <c r="I174" s="5">
        <f t="shared" si="2"/>
        <v>-1.0729626021423577E-2</v>
      </c>
    </row>
    <row r="175" spans="2:9" x14ac:dyDescent="0.2">
      <c r="B175" s="4" t="s">
        <v>484</v>
      </c>
      <c r="C175" s="5">
        <v>428.4</v>
      </c>
      <c r="D175" s="5">
        <v>160</v>
      </c>
      <c r="E175" s="5" t="s">
        <v>1784</v>
      </c>
      <c r="F175" s="5" t="s">
        <v>1785</v>
      </c>
      <c r="G175" s="5" t="s">
        <v>1783</v>
      </c>
      <c r="I175" s="5">
        <f t="shared" si="2"/>
        <v>-1.8501915385321865E-2</v>
      </c>
    </row>
    <row r="176" spans="2:9" x14ac:dyDescent="0.2">
      <c r="B176" s="6">
        <v>45968</v>
      </c>
      <c r="C176" s="5">
        <v>436.4</v>
      </c>
      <c r="D176" s="5">
        <v>294</v>
      </c>
      <c r="E176" s="5" t="s">
        <v>1786</v>
      </c>
      <c r="F176" s="5" t="s">
        <v>1764</v>
      </c>
      <c r="G176" s="5" t="s">
        <v>1787</v>
      </c>
      <c r="I176" s="5">
        <f t="shared" si="2"/>
        <v>-4.1161732024503905E-3</v>
      </c>
    </row>
    <row r="177" spans="2:9" x14ac:dyDescent="0.2">
      <c r="B177" s="6">
        <v>45937</v>
      </c>
      <c r="C177" s="5">
        <v>438.2</v>
      </c>
      <c r="D177" s="5">
        <v>105</v>
      </c>
      <c r="E177" s="5" t="s">
        <v>1415</v>
      </c>
      <c r="F177" s="5" t="s">
        <v>1415</v>
      </c>
      <c r="G177" s="5" t="s">
        <v>1789</v>
      </c>
      <c r="I177" s="5">
        <f t="shared" si="2"/>
        <v>5.5287194138564644E-3</v>
      </c>
    </row>
    <row r="178" spans="2:9" x14ac:dyDescent="0.2">
      <c r="B178" s="6">
        <v>45907</v>
      </c>
      <c r="C178" s="5">
        <v>435.78399999999999</v>
      </c>
      <c r="D178" s="5">
        <v>476</v>
      </c>
      <c r="E178" s="5" t="s">
        <v>1791</v>
      </c>
      <c r="F178" s="5" t="s">
        <v>1791</v>
      </c>
      <c r="G178" s="5" t="s">
        <v>1790</v>
      </c>
      <c r="I178" s="5">
        <f t="shared" si="2"/>
        <v>-7.58046982016225E-3</v>
      </c>
    </row>
    <row r="179" spans="2:9" x14ac:dyDescent="0.2">
      <c r="B179" s="6">
        <v>45876</v>
      </c>
      <c r="C179" s="5">
        <v>439.1</v>
      </c>
      <c r="D179" s="5">
        <v>158</v>
      </c>
      <c r="E179" s="5" t="s">
        <v>1792</v>
      </c>
      <c r="F179" s="5" t="s">
        <v>1792</v>
      </c>
      <c r="G179" s="5" t="s">
        <v>1793</v>
      </c>
      <c r="I179" s="5">
        <f t="shared" si="2"/>
        <v>2.0517504063057856E-3</v>
      </c>
    </row>
    <row r="180" spans="2:9" x14ac:dyDescent="0.2">
      <c r="B180" s="6">
        <v>45845</v>
      </c>
      <c r="C180" s="5">
        <v>438.2</v>
      </c>
      <c r="D180" s="5">
        <v>157</v>
      </c>
      <c r="E180" s="5" t="s">
        <v>1794</v>
      </c>
      <c r="F180" s="5" t="s">
        <v>1788</v>
      </c>
      <c r="G180" s="5" t="s">
        <v>1794</v>
      </c>
      <c r="I180" s="5">
        <f t="shared" si="2"/>
        <v>1.8332234640811684E-2</v>
      </c>
    </row>
    <row r="181" spans="2:9" x14ac:dyDescent="0.2">
      <c r="B181" s="6">
        <v>45723</v>
      </c>
      <c r="C181" s="5">
        <v>430.24</v>
      </c>
      <c r="D181" s="5">
        <v>267</v>
      </c>
      <c r="E181" s="5" t="s">
        <v>1796</v>
      </c>
      <c r="F181" s="5" t="s">
        <v>1797</v>
      </c>
      <c r="G181" s="5" t="s">
        <v>1795</v>
      </c>
      <c r="I181" s="5">
        <f t="shared" si="2"/>
        <v>-1.1921956279892676E-2</v>
      </c>
    </row>
    <row r="182" spans="2:9" x14ac:dyDescent="0.2">
      <c r="B182" s="6">
        <v>45695</v>
      </c>
      <c r="C182" s="5">
        <v>435.4</v>
      </c>
      <c r="D182" s="5">
        <v>197</v>
      </c>
      <c r="E182" s="5" t="s">
        <v>1799</v>
      </c>
      <c r="F182" s="5" t="s">
        <v>1800</v>
      </c>
      <c r="G182" s="5" t="s">
        <v>1798</v>
      </c>
      <c r="I182" s="5">
        <f t="shared" si="2"/>
        <v>7.6729077770156806E-3</v>
      </c>
    </row>
    <row r="183" spans="2:9" x14ac:dyDescent="0.2">
      <c r="B183" s="6">
        <v>45664</v>
      </c>
      <c r="C183" s="5">
        <v>432.072</v>
      </c>
      <c r="D183" s="5">
        <v>170</v>
      </c>
      <c r="E183" s="5" t="s">
        <v>1802</v>
      </c>
      <c r="F183" s="5" t="s">
        <v>1802</v>
      </c>
      <c r="G183" s="5" t="s">
        <v>1801</v>
      </c>
      <c r="I183" s="5">
        <f t="shared" si="2"/>
        <v>1.3479057395233696E-3</v>
      </c>
    </row>
    <row r="184" spans="2:9" x14ac:dyDescent="0.2">
      <c r="B184" s="4" t="s">
        <v>508</v>
      </c>
      <c r="C184" s="5">
        <v>431.49</v>
      </c>
      <c r="D184" s="5">
        <v>1305</v>
      </c>
      <c r="E184" s="5" t="s">
        <v>1803</v>
      </c>
      <c r="F184" s="5" t="s">
        <v>1753</v>
      </c>
      <c r="G184" s="5" t="s">
        <v>1804</v>
      </c>
      <c r="I184" s="5">
        <f t="shared" si="2"/>
        <v>2.9134780352881862E-2</v>
      </c>
    </row>
    <row r="185" spans="2:9" x14ac:dyDescent="0.2">
      <c r="B185" s="4" t="s">
        <v>511</v>
      </c>
      <c r="C185" s="5">
        <v>419.1</v>
      </c>
      <c r="D185" s="5">
        <v>273</v>
      </c>
      <c r="E185" s="5" t="s">
        <v>1805</v>
      </c>
      <c r="F185" s="5" t="s">
        <v>1806</v>
      </c>
      <c r="G185" s="5" t="s">
        <v>1807</v>
      </c>
      <c r="I185" s="5">
        <f t="shared" si="2"/>
        <v>3.6447182846598203E-2</v>
      </c>
    </row>
    <row r="186" spans="2:9" x14ac:dyDescent="0.2">
      <c r="B186" s="4" t="s">
        <v>513</v>
      </c>
      <c r="C186" s="5">
        <v>404.1</v>
      </c>
      <c r="D186" s="5">
        <v>146</v>
      </c>
      <c r="E186" s="5" t="s">
        <v>1576</v>
      </c>
      <c r="F186" s="5" t="s">
        <v>1808</v>
      </c>
      <c r="G186" s="5" t="s">
        <v>1576</v>
      </c>
      <c r="I186" s="5">
        <f t="shared" si="2"/>
        <v>-1.8996833302829863E-2</v>
      </c>
    </row>
    <row r="187" spans="2:9" x14ac:dyDescent="0.2">
      <c r="B187" s="4" t="s">
        <v>514</v>
      </c>
      <c r="C187" s="5">
        <v>411.85</v>
      </c>
      <c r="D187" s="5">
        <v>257</v>
      </c>
      <c r="E187" s="5" t="s">
        <v>1760</v>
      </c>
      <c r="F187" s="5" t="s">
        <v>1809</v>
      </c>
      <c r="G187" s="5" t="s">
        <v>1810</v>
      </c>
      <c r="I187" s="5">
        <f t="shared" si="2"/>
        <v>-1.4104266115872122E-2</v>
      </c>
    </row>
    <row r="188" spans="2:9" x14ac:dyDescent="0.2">
      <c r="B188" s="4" t="s">
        <v>517</v>
      </c>
      <c r="C188" s="5">
        <v>417.7</v>
      </c>
      <c r="D188" s="5">
        <v>175</v>
      </c>
      <c r="E188" s="5" t="s">
        <v>1811</v>
      </c>
      <c r="F188" s="5" t="s">
        <v>1811</v>
      </c>
      <c r="G188" s="5" t="s">
        <v>1812</v>
      </c>
      <c r="I188" s="5">
        <f t="shared" si="2"/>
        <v>2.0315088004772441E-2</v>
      </c>
    </row>
    <row r="189" spans="2:9" x14ac:dyDescent="0.2">
      <c r="B189" s="4" t="s">
        <v>519</v>
      </c>
      <c r="C189" s="5">
        <v>409.3</v>
      </c>
      <c r="D189" s="5">
        <v>446</v>
      </c>
      <c r="E189" s="5" t="s">
        <v>1813</v>
      </c>
      <c r="F189" s="5" t="s">
        <v>1770</v>
      </c>
      <c r="G189" s="5" t="s">
        <v>1814</v>
      </c>
      <c r="I189" s="5">
        <f t="shared" si="2"/>
        <v>-3.9756193430810605E-2</v>
      </c>
    </row>
    <row r="190" spans="2:9" x14ac:dyDescent="0.2">
      <c r="B190" s="4" t="s">
        <v>523</v>
      </c>
      <c r="C190" s="5">
        <v>425.9</v>
      </c>
      <c r="D190" s="5">
        <v>233</v>
      </c>
      <c r="E190" s="5" t="s">
        <v>1815</v>
      </c>
      <c r="F190" s="5" t="s">
        <v>1536</v>
      </c>
      <c r="G190" s="5" t="s">
        <v>1815</v>
      </c>
      <c r="I190" s="5">
        <f t="shared" si="2"/>
        <v>-1.3989503037487694E-2</v>
      </c>
    </row>
    <row r="191" spans="2:9" x14ac:dyDescent="0.2">
      <c r="B191" s="4" t="s">
        <v>525</v>
      </c>
      <c r="C191" s="5">
        <v>431.9</v>
      </c>
      <c r="D191" s="5">
        <v>760</v>
      </c>
      <c r="E191" s="5" t="s">
        <v>1594</v>
      </c>
      <c r="F191" s="5" t="s">
        <v>1816</v>
      </c>
      <c r="G191" s="5" t="s">
        <v>1817</v>
      </c>
      <c r="I191" s="5">
        <f t="shared" si="2"/>
        <v>2.2051971567977446E-2</v>
      </c>
    </row>
    <row r="192" spans="2:9" x14ac:dyDescent="0.2">
      <c r="B192" s="4" t="s">
        <v>527</v>
      </c>
      <c r="C192" s="5">
        <v>422.48</v>
      </c>
      <c r="D192" s="5">
        <v>364</v>
      </c>
      <c r="E192" s="5" t="s">
        <v>1818</v>
      </c>
      <c r="F192" s="5" t="s">
        <v>1819</v>
      </c>
      <c r="G192" s="5" t="s">
        <v>1820</v>
      </c>
      <c r="I192" s="5">
        <f t="shared" si="2"/>
        <v>-9.2026963639995074E-3</v>
      </c>
    </row>
    <row r="193" spans="2:9" x14ac:dyDescent="0.2">
      <c r="B193" s="4" t="s">
        <v>529</v>
      </c>
      <c r="C193" s="5">
        <v>426.38589999999999</v>
      </c>
      <c r="D193" s="5">
        <v>223</v>
      </c>
      <c r="E193" s="5" t="s">
        <v>1822</v>
      </c>
      <c r="F193" s="5" t="s">
        <v>1680</v>
      </c>
      <c r="G193" s="5" t="s">
        <v>1821</v>
      </c>
      <c r="I193" s="5">
        <f t="shared" si="2"/>
        <v>-6.2318474262390566E-4</v>
      </c>
    </row>
    <row r="194" spans="2:9" x14ac:dyDescent="0.2">
      <c r="B194" s="4" t="s">
        <v>532</v>
      </c>
      <c r="C194" s="5">
        <v>426.65170000000001</v>
      </c>
      <c r="D194" s="5">
        <v>374</v>
      </c>
      <c r="E194" s="5" t="s">
        <v>1823</v>
      </c>
      <c r="F194" s="5" t="s">
        <v>1823</v>
      </c>
      <c r="G194" s="5" t="s">
        <v>1824</v>
      </c>
      <c r="I194" s="5">
        <f t="shared" si="2"/>
        <v>-3.3258275385176006E-2</v>
      </c>
    </row>
    <row r="195" spans="2:9" x14ac:dyDescent="0.2">
      <c r="B195" s="6">
        <v>45997</v>
      </c>
      <c r="C195" s="5">
        <v>441.08</v>
      </c>
      <c r="D195" s="5">
        <v>1308</v>
      </c>
      <c r="E195" s="5" t="s">
        <v>1825</v>
      </c>
      <c r="F195" s="5" t="s">
        <v>1826</v>
      </c>
      <c r="G195" s="5" t="s">
        <v>1827</v>
      </c>
      <c r="I195" s="5">
        <f t="shared" si="2"/>
        <v>2.9262301357802833E-2</v>
      </c>
    </row>
    <row r="196" spans="2:9" x14ac:dyDescent="0.2">
      <c r="B196" s="6">
        <v>45967</v>
      </c>
      <c r="C196" s="5">
        <v>428.36</v>
      </c>
      <c r="D196" s="5">
        <v>396</v>
      </c>
      <c r="E196" s="5" t="s">
        <v>1829</v>
      </c>
      <c r="F196" s="5" t="s">
        <v>1829</v>
      </c>
      <c r="G196" s="5" t="s">
        <v>1828</v>
      </c>
      <c r="I196" s="5">
        <f t="shared" si="2"/>
        <v>-6.2601291232589062E-3</v>
      </c>
    </row>
    <row r="197" spans="2:9" x14ac:dyDescent="0.2">
      <c r="B197" s="6">
        <v>45936</v>
      </c>
      <c r="C197" s="5">
        <v>431.05</v>
      </c>
      <c r="D197" s="5">
        <v>144</v>
      </c>
      <c r="E197" s="5" t="s">
        <v>1830</v>
      </c>
      <c r="F197" s="5" t="s">
        <v>1831</v>
      </c>
      <c r="G197" s="5" t="s">
        <v>1811</v>
      </c>
      <c r="I197" s="5">
        <f t="shared" ref="I197:I253" si="3">LN(C197)-LN(C198)</f>
        <v>1.649063742397594E-2</v>
      </c>
    </row>
    <row r="198" spans="2:9" x14ac:dyDescent="0.2">
      <c r="B198" s="6">
        <v>45906</v>
      </c>
      <c r="C198" s="5">
        <v>424</v>
      </c>
      <c r="D198" s="5">
        <v>422</v>
      </c>
      <c r="E198" s="5" t="s">
        <v>1833</v>
      </c>
      <c r="F198" s="5" t="s">
        <v>1833</v>
      </c>
      <c r="G198" s="5" t="s">
        <v>1832</v>
      </c>
      <c r="I198" s="5">
        <f t="shared" si="3"/>
        <v>-9.3897403498388599E-3</v>
      </c>
    </row>
    <row r="199" spans="2:9" x14ac:dyDescent="0.2">
      <c r="B199" s="6">
        <v>45814</v>
      </c>
      <c r="C199" s="5">
        <v>428</v>
      </c>
      <c r="D199" s="5">
        <v>139</v>
      </c>
      <c r="E199" s="5" t="s">
        <v>1835</v>
      </c>
      <c r="F199" s="5" t="s">
        <v>1835</v>
      </c>
      <c r="G199" s="5" t="s">
        <v>1834</v>
      </c>
      <c r="I199" s="5">
        <f t="shared" si="3"/>
        <v>-1.6645504790329113E-2</v>
      </c>
    </row>
    <row r="200" spans="2:9" x14ac:dyDescent="0.2">
      <c r="B200" s="6">
        <v>45783</v>
      </c>
      <c r="C200" s="5">
        <v>435.18389999999999</v>
      </c>
      <c r="D200" s="5">
        <v>198</v>
      </c>
      <c r="E200" s="5" t="s">
        <v>1469</v>
      </c>
      <c r="F200" s="5" t="s">
        <v>1837</v>
      </c>
      <c r="G200" s="5" t="s">
        <v>1836</v>
      </c>
      <c r="I200" s="5">
        <f t="shared" si="3"/>
        <v>-1.5088590613891562E-2</v>
      </c>
    </row>
    <row r="201" spans="2:9" x14ac:dyDescent="0.2">
      <c r="B201" s="6">
        <v>45753</v>
      </c>
      <c r="C201" s="5">
        <v>441.8</v>
      </c>
      <c r="D201" s="5">
        <v>302</v>
      </c>
      <c r="E201" s="5" t="s">
        <v>1760</v>
      </c>
      <c r="F201" s="5" t="s">
        <v>1838</v>
      </c>
      <c r="G201" s="5" t="s">
        <v>1839</v>
      </c>
      <c r="I201" s="5">
        <f t="shared" si="3"/>
        <v>6.2458296084972886E-2</v>
      </c>
    </row>
    <row r="202" spans="2:9" x14ac:dyDescent="0.2">
      <c r="B202" s="6">
        <v>45722</v>
      </c>
      <c r="C202" s="5">
        <v>415.05</v>
      </c>
      <c r="D202" s="5">
        <v>465</v>
      </c>
      <c r="E202" s="5" t="s">
        <v>1841</v>
      </c>
      <c r="F202" s="5" t="s">
        <v>1842</v>
      </c>
      <c r="G202" s="5" t="s">
        <v>1840</v>
      </c>
      <c r="I202" s="5">
        <f t="shared" si="3"/>
        <v>-5.114510848987841E-2</v>
      </c>
    </row>
    <row r="203" spans="2:9" x14ac:dyDescent="0.2">
      <c r="B203" s="6">
        <v>45694</v>
      </c>
      <c r="C203" s="5">
        <v>436.83</v>
      </c>
      <c r="D203" s="5">
        <v>159</v>
      </c>
      <c r="E203" s="5" t="s">
        <v>1843</v>
      </c>
      <c r="F203" s="5" t="s">
        <v>1843</v>
      </c>
      <c r="G203" s="5" t="s">
        <v>1844</v>
      </c>
      <c r="I203" s="5">
        <f t="shared" si="3"/>
        <v>2.2760090162297963E-2</v>
      </c>
    </row>
    <row r="204" spans="2:9" x14ac:dyDescent="0.2">
      <c r="B204" s="4" t="s">
        <v>553</v>
      </c>
      <c r="C204" s="5">
        <v>427</v>
      </c>
      <c r="D204" s="5">
        <v>519</v>
      </c>
      <c r="E204" s="5" t="s">
        <v>1845</v>
      </c>
      <c r="F204" s="5" t="s">
        <v>1846</v>
      </c>
      <c r="G204" s="5" t="s">
        <v>1847</v>
      </c>
      <c r="I204" s="5">
        <f t="shared" si="3"/>
        <v>-1.3106161771201386E-3</v>
      </c>
    </row>
    <row r="205" spans="2:9" x14ac:dyDescent="0.2">
      <c r="B205" s="4" t="s">
        <v>554</v>
      </c>
      <c r="C205" s="5">
        <v>427.56</v>
      </c>
      <c r="D205" s="5">
        <v>474</v>
      </c>
      <c r="E205" s="5" t="s">
        <v>1848</v>
      </c>
      <c r="F205" s="5" t="s">
        <v>1848</v>
      </c>
      <c r="G205" s="5" t="s">
        <v>1849</v>
      </c>
      <c r="I205" s="5">
        <f t="shared" si="3"/>
        <v>5.2973755850277193E-2</v>
      </c>
    </row>
    <row r="206" spans="2:9" x14ac:dyDescent="0.2">
      <c r="B206" s="4" t="s">
        <v>556</v>
      </c>
      <c r="C206" s="5">
        <v>405.5</v>
      </c>
      <c r="D206" s="5">
        <v>209</v>
      </c>
      <c r="E206" s="5" t="s">
        <v>1850</v>
      </c>
      <c r="F206" s="5" t="s">
        <v>1851</v>
      </c>
      <c r="G206" s="5" t="s">
        <v>1852</v>
      </c>
      <c r="I206" s="5">
        <f t="shared" si="3"/>
        <v>-4.1544672906078439E-2</v>
      </c>
    </row>
    <row r="207" spans="2:9" x14ac:dyDescent="0.2">
      <c r="B207" s="4" t="s">
        <v>559</v>
      </c>
      <c r="C207" s="5">
        <v>422.70119999999997</v>
      </c>
      <c r="D207" s="5">
        <v>371</v>
      </c>
      <c r="E207" s="5" t="s">
        <v>1853</v>
      </c>
      <c r="F207" s="5" t="s">
        <v>1853</v>
      </c>
      <c r="G207" s="5" t="s">
        <v>1854</v>
      </c>
      <c r="I207" s="5">
        <f t="shared" si="3"/>
        <v>1.2860158864039128E-2</v>
      </c>
    </row>
    <row r="208" spans="2:9" x14ac:dyDescent="0.2">
      <c r="B208" s="4" t="s">
        <v>561</v>
      </c>
      <c r="C208" s="5">
        <v>417.3</v>
      </c>
      <c r="D208" s="5">
        <v>574</v>
      </c>
      <c r="E208" s="5" t="s">
        <v>1855</v>
      </c>
      <c r="F208" s="5" t="s">
        <v>1856</v>
      </c>
      <c r="G208" s="5" t="s">
        <v>1776</v>
      </c>
      <c r="I208" s="5">
        <f t="shared" si="3"/>
        <v>-1.6635364610771752E-2</v>
      </c>
    </row>
    <row r="209" spans="2:9" x14ac:dyDescent="0.2">
      <c r="B209" s="4" t="s">
        <v>562</v>
      </c>
      <c r="C209" s="5">
        <v>424.3</v>
      </c>
      <c r="D209" s="5">
        <v>637</v>
      </c>
      <c r="E209" s="5" t="s">
        <v>1857</v>
      </c>
      <c r="F209" s="5" t="s">
        <v>1858</v>
      </c>
      <c r="G209" s="5" t="s">
        <v>1859</v>
      </c>
      <c r="I209" s="5">
        <f t="shared" si="3"/>
        <v>-3.7174530428973007E-2</v>
      </c>
    </row>
    <row r="210" spans="2:9" x14ac:dyDescent="0.2">
      <c r="B210" s="4" t="s">
        <v>563</v>
      </c>
      <c r="C210" s="5">
        <v>440.37</v>
      </c>
      <c r="D210" s="5">
        <v>88</v>
      </c>
      <c r="E210" s="5" t="s">
        <v>1860</v>
      </c>
      <c r="F210" s="5" t="s">
        <v>1861</v>
      </c>
      <c r="G210" s="5" t="s">
        <v>1666</v>
      </c>
      <c r="I210" s="5">
        <f t="shared" si="3"/>
        <v>5.0460609612153817E-2</v>
      </c>
    </row>
    <row r="211" spans="2:9" x14ac:dyDescent="0.2">
      <c r="B211" s="4" t="s">
        <v>566</v>
      </c>
      <c r="C211" s="5">
        <v>418.7</v>
      </c>
      <c r="D211" s="5">
        <v>161</v>
      </c>
      <c r="E211" s="5" t="s">
        <v>1862</v>
      </c>
      <c r="F211" s="5" t="s">
        <v>1862</v>
      </c>
      <c r="G211" s="5" t="s">
        <v>1863</v>
      </c>
      <c r="I211" s="5">
        <f t="shared" si="3"/>
        <v>-2.3451534500213533E-2</v>
      </c>
    </row>
    <row r="212" spans="2:9" x14ac:dyDescent="0.2">
      <c r="B212" s="4" t="s">
        <v>567</v>
      </c>
      <c r="C212" s="5">
        <v>428.6352</v>
      </c>
      <c r="D212" s="5">
        <v>366</v>
      </c>
      <c r="E212" s="5" t="s">
        <v>1865</v>
      </c>
      <c r="F212" s="5" t="s">
        <v>1864</v>
      </c>
      <c r="G212" s="5" t="s">
        <v>1866</v>
      </c>
      <c r="I212" s="5">
        <f t="shared" si="3"/>
        <v>-8.0045487593238818E-3</v>
      </c>
    </row>
    <row r="213" spans="2:9" x14ac:dyDescent="0.2">
      <c r="B213" s="4" t="s">
        <v>568</v>
      </c>
      <c r="C213" s="5">
        <v>432.08</v>
      </c>
      <c r="D213" s="5">
        <v>458</v>
      </c>
      <c r="E213" s="5" t="s">
        <v>1867</v>
      </c>
      <c r="F213" s="5" t="s">
        <v>1867</v>
      </c>
      <c r="G213" s="5" t="s">
        <v>1868</v>
      </c>
      <c r="I213" s="5">
        <f t="shared" si="3"/>
        <v>-3.119550542002969E-3</v>
      </c>
    </row>
    <row r="214" spans="2:9" x14ac:dyDescent="0.2">
      <c r="B214" s="4" t="s">
        <v>569</v>
      </c>
      <c r="C214" s="5">
        <v>433.43</v>
      </c>
      <c r="D214" s="5">
        <v>448</v>
      </c>
      <c r="E214" s="5" t="s">
        <v>1869</v>
      </c>
      <c r="F214" s="5" t="s">
        <v>1869</v>
      </c>
      <c r="G214" s="5" t="s">
        <v>1870</v>
      </c>
      <c r="I214" s="5">
        <f t="shared" si="3"/>
        <v>3.9113840482958295E-3</v>
      </c>
    </row>
    <row r="215" spans="2:9" x14ac:dyDescent="0.2">
      <c r="B215" s="4" t="s">
        <v>571</v>
      </c>
      <c r="C215" s="5">
        <v>431.738</v>
      </c>
      <c r="D215" s="5">
        <v>364</v>
      </c>
      <c r="E215" s="5" t="s">
        <v>1871</v>
      </c>
      <c r="F215" s="5" t="s">
        <v>1872</v>
      </c>
      <c r="G215" s="5" t="s">
        <v>1873</v>
      </c>
      <c r="I215" s="5">
        <f t="shared" si="3"/>
        <v>-2.7104332697869715E-2</v>
      </c>
    </row>
    <row r="216" spans="2:9" x14ac:dyDescent="0.2">
      <c r="B216" s="4" t="s">
        <v>573</v>
      </c>
      <c r="C216" s="5">
        <v>443.6</v>
      </c>
      <c r="D216" s="5">
        <v>220</v>
      </c>
      <c r="E216" s="5" t="s">
        <v>1874</v>
      </c>
      <c r="F216" s="5" t="s">
        <v>1875</v>
      </c>
      <c r="G216" s="5" t="s">
        <v>1845</v>
      </c>
      <c r="I216" s="5">
        <f t="shared" si="3"/>
        <v>-6.2921555908888038E-3</v>
      </c>
    </row>
    <row r="217" spans="2:9" x14ac:dyDescent="0.2">
      <c r="B217" s="6">
        <v>45996</v>
      </c>
      <c r="C217" s="5">
        <v>446.4</v>
      </c>
      <c r="D217" s="5">
        <v>406</v>
      </c>
      <c r="E217" s="5" t="s">
        <v>1876</v>
      </c>
      <c r="F217" s="5" t="s">
        <v>1876</v>
      </c>
      <c r="G217" s="5" t="s">
        <v>1877</v>
      </c>
      <c r="I217" s="5">
        <f t="shared" si="3"/>
        <v>1.9380135913072749E-2</v>
      </c>
    </row>
    <row r="218" spans="2:9" x14ac:dyDescent="0.2">
      <c r="B218" s="6">
        <v>45905</v>
      </c>
      <c r="C218" s="5">
        <v>437.83199999999999</v>
      </c>
      <c r="D218" s="5">
        <v>610</v>
      </c>
      <c r="E218" s="5" t="s">
        <v>1878</v>
      </c>
      <c r="F218" s="5" t="s">
        <v>1879</v>
      </c>
      <c r="G218" s="5" t="s">
        <v>1880</v>
      </c>
      <c r="I218" s="5">
        <f t="shared" si="3"/>
        <v>3.0946826806130368E-2</v>
      </c>
    </row>
    <row r="219" spans="2:9" x14ac:dyDescent="0.2">
      <c r="B219" s="6">
        <v>45874</v>
      </c>
      <c r="C219" s="5">
        <v>424.49</v>
      </c>
      <c r="D219" s="5">
        <v>282</v>
      </c>
      <c r="E219" s="5" t="s">
        <v>1881</v>
      </c>
      <c r="F219" s="5" t="s">
        <v>1881</v>
      </c>
      <c r="G219" s="5" t="s">
        <v>1882</v>
      </c>
      <c r="I219" s="5">
        <f t="shared" si="3"/>
        <v>-1.1872980642118058E-2</v>
      </c>
    </row>
    <row r="220" spans="2:9" x14ac:dyDescent="0.2">
      <c r="B220" s="6">
        <v>45843</v>
      </c>
      <c r="C220" s="5">
        <v>429.56</v>
      </c>
      <c r="D220" s="5">
        <v>851</v>
      </c>
      <c r="E220" s="5" t="s">
        <v>1623</v>
      </c>
      <c r="F220" s="5" t="s">
        <v>1883</v>
      </c>
      <c r="G220" s="5" t="s">
        <v>1884</v>
      </c>
      <c r="I220" s="5">
        <f t="shared" si="3"/>
        <v>-4.650682897421099E-3</v>
      </c>
    </row>
    <row r="221" spans="2:9" x14ac:dyDescent="0.2">
      <c r="B221" s="6">
        <v>45813</v>
      </c>
      <c r="C221" s="5">
        <v>431.56240000000003</v>
      </c>
      <c r="D221" s="5">
        <v>223</v>
      </c>
      <c r="E221" s="5" t="s">
        <v>1885</v>
      </c>
      <c r="F221" s="5" t="s">
        <v>1885</v>
      </c>
      <c r="G221" s="5" t="s">
        <v>1886</v>
      </c>
      <c r="I221" s="5">
        <f t="shared" si="3"/>
        <v>-1.933897838189047E-2</v>
      </c>
    </row>
    <row r="222" spans="2:9" x14ac:dyDescent="0.2">
      <c r="B222" s="6">
        <v>45782</v>
      </c>
      <c r="C222" s="5">
        <v>439.9896</v>
      </c>
      <c r="D222" s="5">
        <v>998</v>
      </c>
      <c r="E222" s="5" t="s">
        <v>1887</v>
      </c>
      <c r="F222" s="5" t="s">
        <v>1888</v>
      </c>
      <c r="G222" s="5" t="s">
        <v>1887</v>
      </c>
      <c r="I222" s="5">
        <f t="shared" si="3"/>
        <v>-2.9058427300334699E-3</v>
      </c>
    </row>
    <row r="223" spans="2:9" x14ac:dyDescent="0.2">
      <c r="B223" s="6">
        <v>45693</v>
      </c>
      <c r="C223" s="5">
        <v>441.27</v>
      </c>
      <c r="D223" s="5">
        <v>373</v>
      </c>
      <c r="E223" s="5" t="s">
        <v>1889</v>
      </c>
      <c r="F223" s="5" t="s">
        <v>1890</v>
      </c>
      <c r="G223" s="5" t="s">
        <v>1891</v>
      </c>
      <c r="I223" s="5">
        <f t="shared" si="3"/>
        <v>2.3141856230459723E-3</v>
      </c>
    </row>
    <row r="224" spans="2:9" x14ac:dyDescent="0.2">
      <c r="B224" s="6">
        <v>45662</v>
      </c>
      <c r="C224" s="5">
        <v>440.25</v>
      </c>
      <c r="D224" s="5">
        <v>274</v>
      </c>
      <c r="E224" s="5" t="s">
        <v>1892</v>
      </c>
      <c r="F224" s="5" t="s">
        <v>1893</v>
      </c>
      <c r="G224" s="5" t="s">
        <v>1894</v>
      </c>
      <c r="I224" s="5">
        <f t="shared" si="3"/>
        <v>9.7005040272808429E-3</v>
      </c>
    </row>
    <row r="225" spans="2:9" x14ac:dyDescent="0.2">
      <c r="B225" s="4" t="s">
        <v>586</v>
      </c>
      <c r="C225" s="5">
        <v>436</v>
      </c>
      <c r="D225" s="5">
        <v>646</v>
      </c>
      <c r="E225" s="5" t="s">
        <v>1895</v>
      </c>
      <c r="F225" s="5" t="s">
        <v>1896</v>
      </c>
      <c r="G225" s="5" t="s">
        <v>1897</v>
      </c>
      <c r="I225" s="5">
        <f t="shared" si="3"/>
        <v>-4.1975997567016421E-3</v>
      </c>
    </row>
    <row r="226" spans="2:9" x14ac:dyDescent="0.2">
      <c r="B226" s="4" t="s">
        <v>587</v>
      </c>
      <c r="C226" s="5">
        <v>437.834</v>
      </c>
      <c r="D226" s="5">
        <v>689</v>
      </c>
      <c r="E226" s="5" t="s">
        <v>1898</v>
      </c>
      <c r="F226" s="5" t="s">
        <v>1899</v>
      </c>
      <c r="G226" s="5" t="s">
        <v>1514</v>
      </c>
      <c r="I226" s="5">
        <f t="shared" si="3"/>
        <v>3.9967393453908429E-2</v>
      </c>
    </row>
    <row r="227" spans="2:9" x14ac:dyDescent="0.2">
      <c r="B227" s="4" t="s">
        <v>589</v>
      </c>
      <c r="C227" s="5">
        <v>420.68</v>
      </c>
      <c r="D227" s="5">
        <v>338</v>
      </c>
      <c r="E227" s="5" t="s">
        <v>1901</v>
      </c>
      <c r="F227" s="5" t="s">
        <v>1667</v>
      </c>
      <c r="G227" s="5" t="s">
        <v>1900</v>
      </c>
      <c r="I227" s="5">
        <f t="shared" si="3"/>
        <v>-1.4911563576797349E-2</v>
      </c>
    </row>
    <row r="228" spans="2:9" x14ac:dyDescent="0.2">
      <c r="B228" s="4" t="s">
        <v>590</v>
      </c>
      <c r="C228" s="5">
        <v>427</v>
      </c>
      <c r="D228" s="5">
        <v>1006</v>
      </c>
      <c r="E228" s="5" t="s">
        <v>1902</v>
      </c>
      <c r="F228" s="5" t="s">
        <v>1903</v>
      </c>
      <c r="G228" s="5" t="s">
        <v>1904</v>
      </c>
      <c r="I228" s="5">
        <f t="shared" si="3"/>
        <v>6.9892391219905647E-3</v>
      </c>
    </row>
    <row r="229" spans="2:9" x14ac:dyDescent="0.2">
      <c r="B229" s="4" t="s">
        <v>591</v>
      </c>
      <c r="C229" s="5">
        <v>424.02600000000001</v>
      </c>
      <c r="D229" s="5">
        <v>341</v>
      </c>
      <c r="E229" s="5" t="s">
        <v>1905</v>
      </c>
      <c r="F229" s="5" t="s">
        <v>1906</v>
      </c>
      <c r="G229" s="5" t="s">
        <v>1907</v>
      </c>
      <c r="I229" s="5">
        <f t="shared" si="3"/>
        <v>7.6911647412103434E-4</v>
      </c>
    </row>
    <row r="230" spans="2:9" x14ac:dyDescent="0.2">
      <c r="B230" s="4" t="s">
        <v>592</v>
      </c>
      <c r="C230" s="5">
        <v>423.7</v>
      </c>
      <c r="D230" s="5">
        <v>368</v>
      </c>
      <c r="E230" s="5" t="s">
        <v>1623</v>
      </c>
      <c r="F230" s="5" t="s">
        <v>1660</v>
      </c>
      <c r="G230" s="5" t="s">
        <v>1908</v>
      </c>
      <c r="I230" s="5">
        <f t="shared" si="3"/>
        <v>4.2229246527549336E-2</v>
      </c>
    </row>
    <row r="231" spans="2:9" x14ac:dyDescent="0.2">
      <c r="B231" s="4" t="s">
        <v>593</v>
      </c>
      <c r="C231" s="5">
        <v>406.18</v>
      </c>
      <c r="D231" s="5">
        <v>532</v>
      </c>
      <c r="E231" s="5" t="s">
        <v>1909</v>
      </c>
      <c r="F231" s="5" t="s">
        <v>1910</v>
      </c>
      <c r="G231" s="5" t="s">
        <v>1909</v>
      </c>
      <c r="I231" s="5">
        <f t="shared" si="3"/>
        <v>5.2455238104246682E-2</v>
      </c>
    </row>
    <row r="232" spans="2:9" x14ac:dyDescent="0.2">
      <c r="B232" s="4" t="s">
        <v>594</v>
      </c>
      <c r="C232" s="5">
        <v>385.42290000000003</v>
      </c>
      <c r="D232" s="5">
        <v>225</v>
      </c>
      <c r="E232" s="5" t="s">
        <v>1911</v>
      </c>
      <c r="F232" s="5" t="s">
        <v>1912</v>
      </c>
      <c r="G232" s="5" t="s">
        <v>1913</v>
      </c>
      <c r="I232" s="5">
        <f t="shared" si="3"/>
        <v>1.6593908398722768E-2</v>
      </c>
    </row>
    <row r="233" spans="2:9" x14ac:dyDescent="0.2">
      <c r="B233" s="4" t="s">
        <v>595</v>
      </c>
      <c r="C233" s="5">
        <v>379.08</v>
      </c>
      <c r="D233" s="5">
        <v>271</v>
      </c>
      <c r="E233" s="5" t="s">
        <v>1914</v>
      </c>
      <c r="F233" s="5" t="s">
        <v>1915</v>
      </c>
      <c r="G233" s="5" t="s">
        <v>1914</v>
      </c>
      <c r="I233" s="5">
        <f t="shared" si="3"/>
        <v>-5.6818334674311188E-3</v>
      </c>
    </row>
    <row r="234" spans="2:9" x14ac:dyDescent="0.2">
      <c r="B234" s="4" t="s">
        <v>596</v>
      </c>
      <c r="C234" s="5">
        <v>381.24</v>
      </c>
      <c r="D234" s="5">
        <v>342</v>
      </c>
      <c r="E234" s="5" t="s">
        <v>1916</v>
      </c>
      <c r="F234" s="5" t="s">
        <v>1917</v>
      </c>
      <c r="G234" s="5" t="s">
        <v>1918</v>
      </c>
      <c r="I234" s="5">
        <f t="shared" si="3"/>
        <v>-1.1578912027941257E-2</v>
      </c>
    </row>
    <row r="235" spans="2:9" x14ac:dyDescent="0.2">
      <c r="B235" s="4" t="s">
        <v>597</v>
      </c>
      <c r="C235" s="5">
        <v>385.68</v>
      </c>
      <c r="D235" s="5">
        <v>265</v>
      </c>
      <c r="E235" s="5" t="s">
        <v>1919</v>
      </c>
      <c r="F235" s="5" t="s">
        <v>1920</v>
      </c>
      <c r="G235" s="5" t="s">
        <v>1921</v>
      </c>
      <c r="I235" s="5">
        <f t="shared" si="3"/>
        <v>-5.352791959281511E-3</v>
      </c>
    </row>
    <row r="236" spans="2:9" x14ac:dyDescent="0.2">
      <c r="B236" s="4" t="s">
        <v>599</v>
      </c>
      <c r="C236" s="5">
        <v>387.75</v>
      </c>
      <c r="D236" s="5">
        <v>1653</v>
      </c>
      <c r="E236" s="5" t="s">
        <v>1923</v>
      </c>
      <c r="F236" s="5" t="s">
        <v>1924</v>
      </c>
      <c r="G236" s="5" t="s">
        <v>1922</v>
      </c>
      <c r="I236" s="5">
        <f t="shared" si="3"/>
        <v>-3.7259757862670106E-2</v>
      </c>
    </row>
    <row r="237" spans="2:9" x14ac:dyDescent="0.2">
      <c r="B237" s="6">
        <v>45965</v>
      </c>
      <c r="C237" s="5">
        <v>402.47</v>
      </c>
      <c r="D237" s="5">
        <v>409</v>
      </c>
      <c r="E237" s="5" t="s">
        <v>1925</v>
      </c>
      <c r="F237" s="5" t="s">
        <v>1926</v>
      </c>
      <c r="G237" s="5" t="s">
        <v>1927</v>
      </c>
      <c r="I237" s="5">
        <f t="shared" si="3"/>
        <v>2.8497485249118881E-2</v>
      </c>
    </row>
    <row r="238" spans="2:9" x14ac:dyDescent="0.2">
      <c r="B238" s="6">
        <v>45934</v>
      </c>
      <c r="C238" s="5">
        <v>391.16250000000002</v>
      </c>
      <c r="D238" s="5">
        <v>372</v>
      </c>
      <c r="E238" s="5" t="s">
        <v>1928</v>
      </c>
      <c r="F238" s="5" t="s">
        <v>1929</v>
      </c>
      <c r="G238" s="5" t="s">
        <v>1930</v>
      </c>
      <c r="I238" s="5">
        <f t="shared" si="3"/>
        <v>-1.2291136584281048E-2</v>
      </c>
    </row>
    <row r="239" spans="2:9" x14ac:dyDescent="0.2">
      <c r="B239" s="6">
        <v>45904</v>
      </c>
      <c r="C239" s="5">
        <v>396</v>
      </c>
      <c r="D239" s="5">
        <v>614</v>
      </c>
      <c r="E239" s="5" t="s">
        <v>1931</v>
      </c>
      <c r="F239" s="5" t="s">
        <v>1932</v>
      </c>
      <c r="G239" s="5" t="s">
        <v>1933</v>
      </c>
      <c r="I239" s="5">
        <f t="shared" si="3"/>
        <v>5.4125584365062984E-2</v>
      </c>
    </row>
    <row r="240" spans="2:9" x14ac:dyDescent="0.2">
      <c r="B240" s="6">
        <v>45873</v>
      </c>
      <c r="C240" s="5">
        <v>375.13600000000002</v>
      </c>
      <c r="D240" s="5">
        <v>880</v>
      </c>
      <c r="E240" s="5" t="s">
        <v>1934</v>
      </c>
      <c r="F240" s="5" t="s">
        <v>1935</v>
      </c>
      <c r="G240" s="5" t="s">
        <v>1936</v>
      </c>
      <c r="I240" s="5">
        <f t="shared" si="3"/>
        <v>1.5408559124278298E-2</v>
      </c>
    </row>
    <row r="241" spans="2:9" x14ac:dyDescent="0.2">
      <c r="B241" s="6">
        <v>45842</v>
      </c>
      <c r="C241" s="5">
        <v>369.4</v>
      </c>
      <c r="D241" s="5">
        <v>822</v>
      </c>
      <c r="E241" s="5" t="s">
        <v>1937</v>
      </c>
      <c r="F241" s="5" t="s">
        <v>1938</v>
      </c>
      <c r="G241" s="5" t="s">
        <v>1939</v>
      </c>
      <c r="I241" s="5">
        <f t="shared" si="3"/>
        <v>3.5254273801639258E-3</v>
      </c>
    </row>
    <row r="242" spans="2:9" x14ac:dyDescent="0.2">
      <c r="B242" s="6">
        <v>45751</v>
      </c>
      <c r="C242" s="5">
        <v>368.1</v>
      </c>
      <c r="D242" s="5">
        <v>1239</v>
      </c>
      <c r="E242" s="5" t="s">
        <v>1927</v>
      </c>
      <c r="F242" s="5" t="s">
        <v>1927</v>
      </c>
      <c r="G242" s="5" t="s">
        <v>1940</v>
      </c>
      <c r="I242" s="5">
        <f t="shared" si="3"/>
        <v>-4.6202116699622486E-2</v>
      </c>
    </row>
    <row r="243" spans="2:9" x14ac:dyDescent="0.2">
      <c r="B243" s="6">
        <v>45720</v>
      </c>
      <c r="C243" s="5">
        <v>385.50599999999997</v>
      </c>
      <c r="D243" s="5">
        <v>499</v>
      </c>
      <c r="E243" s="5" t="s">
        <v>1941</v>
      </c>
      <c r="F243" s="5" t="s">
        <v>1942</v>
      </c>
      <c r="G243" s="5" t="s">
        <v>1943</v>
      </c>
      <c r="I243" s="5">
        <f t="shared" si="3"/>
        <v>1.5596763958765081E-2</v>
      </c>
    </row>
    <row r="244" spans="2:9" x14ac:dyDescent="0.2">
      <c r="B244" s="6">
        <v>45692</v>
      </c>
      <c r="C244" s="5">
        <v>379.54</v>
      </c>
      <c r="D244" s="5">
        <v>4690</v>
      </c>
      <c r="E244" s="5" t="s">
        <v>1944</v>
      </c>
      <c r="F244" s="5" t="s">
        <v>1945</v>
      </c>
      <c r="G244" s="5" t="s">
        <v>1944</v>
      </c>
      <c r="I244" s="5">
        <f t="shared" si="3"/>
        <v>-3.4456036929642053E-3</v>
      </c>
    </row>
    <row r="245" spans="2:9" x14ac:dyDescent="0.2">
      <c r="B245" s="6">
        <v>45661</v>
      </c>
      <c r="C245" s="5">
        <v>380.85</v>
      </c>
      <c r="D245" s="5">
        <v>138</v>
      </c>
      <c r="E245" s="5" t="s">
        <v>1946</v>
      </c>
      <c r="F245" s="5" t="s">
        <v>1947</v>
      </c>
      <c r="G245" s="5" t="s">
        <v>1948</v>
      </c>
      <c r="I245" s="5">
        <f t="shared" si="3"/>
        <v>2.9632587292595325E-2</v>
      </c>
    </row>
    <row r="246" spans="2:9" x14ac:dyDescent="0.2">
      <c r="B246" s="4" t="s">
        <v>615</v>
      </c>
      <c r="C246" s="5">
        <v>369.73</v>
      </c>
      <c r="D246" s="5">
        <v>414</v>
      </c>
      <c r="E246" s="5" t="s">
        <v>1949</v>
      </c>
      <c r="F246" s="5" t="s">
        <v>1950</v>
      </c>
      <c r="G246" s="5" t="s">
        <v>1951</v>
      </c>
      <c r="I246" s="5">
        <f t="shared" si="3"/>
        <v>1.1369940786877031E-2</v>
      </c>
    </row>
    <row r="247" spans="2:9" x14ac:dyDescent="0.2">
      <c r="B247" s="4" t="s">
        <v>617</v>
      </c>
      <c r="C247" s="5">
        <v>365.55</v>
      </c>
      <c r="D247" s="5">
        <v>818</v>
      </c>
      <c r="E247" s="5" t="s">
        <v>1953</v>
      </c>
      <c r="F247" s="5" t="s">
        <v>1954</v>
      </c>
      <c r="G247" s="5" t="s">
        <v>1952</v>
      </c>
      <c r="I247" s="5">
        <f t="shared" si="3"/>
        <v>3.1509033535215281E-3</v>
      </c>
    </row>
    <row r="248" spans="2:9" x14ac:dyDescent="0.2">
      <c r="B248" s="4" t="s">
        <v>619</v>
      </c>
      <c r="C248" s="5">
        <v>364.4</v>
      </c>
      <c r="D248" s="5">
        <v>95</v>
      </c>
      <c r="E248" s="5" t="s">
        <v>1956</v>
      </c>
      <c r="F248" s="5" t="s">
        <v>1957</v>
      </c>
      <c r="G248" s="5" t="s">
        <v>1955</v>
      </c>
      <c r="I248" s="5">
        <f t="shared" si="3"/>
        <v>-6.2499126274477845E-3</v>
      </c>
    </row>
    <row r="249" spans="2:9" x14ac:dyDescent="0.2">
      <c r="B249" s="4" t="s">
        <v>622</v>
      </c>
      <c r="C249" s="5">
        <v>366.68459999999999</v>
      </c>
      <c r="D249" s="5">
        <v>326</v>
      </c>
      <c r="E249" s="5" t="s">
        <v>1959</v>
      </c>
      <c r="F249" s="5" t="s">
        <v>1959</v>
      </c>
      <c r="G249" s="5" t="s">
        <v>1958</v>
      </c>
      <c r="I249" s="5">
        <f t="shared" si="3"/>
        <v>-5.0137683413558953E-2</v>
      </c>
    </row>
    <row r="250" spans="2:9" x14ac:dyDescent="0.2">
      <c r="B250" s="4" t="s">
        <v>624</v>
      </c>
      <c r="C250" s="5">
        <v>385.53800000000001</v>
      </c>
      <c r="D250" s="5">
        <v>162</v>
      </c>
      <c r="E250" s="5" t="s">
        <v>1961</v>
      </c>
      <c r="F250" s="5" t="s">
        <v>1960</v>
      </c>
      <c r="G250" s="5" t="s">
        <v>1962</v>
      </c>
      <c r="I250" s="5">
        <f t="shared" si="3"/>
        <v>2.9074661095740417E-2</v>
      </c>
    </row>
    <row r="251" spans="2:9" x14ac:dyDescent="0.2">
      <c r="B251" s="4" t="s">
        <v>625</v>
      </c>
      <c r="C251" s="5">
        <v>374.49</v>
      </c>
      <c r="D251" s="5">
        <v>385</v>
      </c>
      <c r="E251" s="5" t="s">
        <v>1964</v>
      </c>
      <c r="F251" s="5" t="s">
        <v>1965</v>
      </c>
      <c r="G251" s="5" t="s">
        <v>1963</v>
      </c>
      <c r="I251" s="5">
        <f t="shared" si="3"/>
        <v>-3.5337141194272448E-2</v>
      </c>
    </row>
    <row r="252" spans="2:9" x14ac:dyDescent="0.2">
      <c r="B252" s="4" t="s">
        <v>628</v>
      </c>
      <c r="C252" s="5">
        <v>387.96</v>
      </c>
      <c r="D252" s="5">
        <v>244</v>
      </c>
      <c r="E252" s="5" t="s">
        <v>1967</v>
      </c>
      <c r="F252" s="5" t="s">
        <v>1966</v>
      </c>
      <c r="G252" s="5" t="s">
        <v>1968</v>
      </c>
      <c r="I252" s="5">
        <f t="shared" si="3"/>
        <v>-1.6742246981777065E-2</v>
      </c>
    </row>
    <row r="253" spans="2:9" x14ac:dyDescent="0.2">
      <c r="B253" s="4" t="s">
        <v>629</v>
      </c>
      <c r="C253" s="5">
        <v>394.51</v>
      </c>
      <c r="D253" s="5">
        <v>147</v>
      </c>
      <c r="E253" s="5" t="s">
        <v>1969</v>
      </c>
      <c r="F253" s="5" t="s">
        <v>1970</v>
      </c>
      <c r="G253" s="5" t="s">
        <v>1971</v>
      </c>
      <c r="I253" s="5">
        <f t="shared" si="3"/>
        <v>-1.5827370770100657E-3</v>
      </c>
    </row>
    <row r="254" spans="2:9" x14ac:dyDescent="0.2">
      <c r="B254" s="4" t="s">
        <v>632</v>
      </c>
      <c r="C254" s="5">
        <v>395.13490000000002</v>
      </c>
      <c r="D254" s="5">
        <v>225</v>
      </c>
      <c r="E254" s="5" t="s">
        <v>1972</v>
      </c>
      <c r="F254" s="5" t="s">
        <v>1973</v>
      </c>
      <c r="G254" s="5" t="s">
        <v>1974</v>
      </c>
      <c r="I254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E3D6-0108-CF42-BDA0-D874AEAAA8D8}">
  <dimension ref="A1:AS962"/>
  <sheetViews>
    <sheetView tabSelected="1" topLeftCell="A19" zoomScaleNormal="157" workbookViewId="0">
      <selection activeCell="C45" sqref="C45"/>
    </sheetView>
  </sheetViews>
  <sheetFormatPr baseColWidth="10" defaultColWidth="11" defaultRowHeight="16" x14ac:dyDescent="0.2"/>
  <cols>
    <col min="2" max="2" width="11.33203125" bestFit="1" customWidth="1"/>
    <col min="8" max="8" width="12.83203125" bestFit="1" customWidth="1"/>
    <col min="11" max="11" width="13.6640625" bestFit="1" customWidth="1"/>
    <col min="12" max="42" width="13.5" bestFit="1" customWidth="1"/>
    <col min="44" max="44" width="13.6640625" bestFit="1" customWidth="1"/>
  </cols>
  <sheetData>
    <row r="1" spans="1:45" x14ac:dyDescent="0.2">
      <c r="AR1" t="s">
        <v>1984</v>
      </c>
      <c r="AS1" t="s">
        <v>1985</v>
      </c>
    </row>
    <row r="2" spans="1:45" x14ac:dyDescent="0.2">
      <c r="B2" t="s">
        <v>1981</v>
      </c>
      <c r="C2" t="s">
        <v>1983</v>
      </c>
      <c r="D2" t="s">
        <v>1982</v>
      </c>
      <c r="F2" t="s">
        <v>1986</v>
      </c>
      <c r="G2" t="s">
        <v>1987</v>
      </c>
      <c r="H2" t="s">
        <v>1988</v>
      </c>
      <c r="K2" t="s">
        <v>1998</v>
      </c>
      <c r="AR2" cm="1">
        <f t="array" ref="AR2:AR962">_xlfn.TOCOL(L41:AP71)</f>
        <v>6.0995218871077068E-2</v>
      </c>
      <c r="AS2" cm="1">
        <f t="array" ref="AS2:AS962">_xlfn.TOCOL(L5:AP35)</f>
        <v>2.5756947372280498E-3</v>
      </c>
    </row>
    <row r="3" spans="1:45" x14ac:dyDescent="0.2">
      <c r="B3">
        <v>0</v>
      </c>
      <c r="C3">
        <v>0</v>
      </c>
      <c r="D3">
        <f>1-B3-C3</f>
        <v>1</v>
      </c>
      <c r="F3">
        <f>(B3^2*$D$6) + (C3^2*$D$7) + (D3^2*$D$8) + 2*B3*C3*$F$6 + 2*B3*D3*$F$7 + 2*C3*D3*$F$8</f>
        <v>6.5495582095870155E-4</v>
      </c>
      <c r="G3">
        <f>SQRT(F3)</f>
        <v>2.5592104660592134E-2</v>
      </c>
      <c r="H3" s="30">
        <f>B3*$B$6 + C3*$B$7 + D3*$B$8</f>
        <v>-1.3482308283282509E-5</v>
      </c>
      <c r="AR3">
        <v>5.8290536494169314E-2</v>
      </c>
      <c r="AS3">
        <v>2.3986122019119291E-3</v>
      </c>
    </row>
    <row r="4" spans="1:45" x14ac:dyDescent="0.2">
      <c r="K4" s="31">
        <f>$H$3</f>
        <v>-1.3482308283282509E-5</v>
      </c>
      <c r="L4" s="31">
        <v>-0.3</v>
      </c>
      <c r="M4" s="31">
        <v>-0.28000000000000003</v>
      </c>
      <c r="N4" s="31">
        <v>-0.26</v>
      </c>
      <c r="O4" s="31">
        <v>-0.24</v>
      </c>
      <c r="P4" s="31">
        <v>-0.22</v>
      </c>
      <c r="Q4" s="31">
        <v>-0.2</v>
      </c>
      <c r="R4" s="31">
        <v>-0.18</v>
      </c>
      <c r="S4" s="31">
        <v>-0.16</v>
      </c>
      <c r="T4" s="31">
        <v>-0.14000000000000001</v>
      </c>
      <c r="U4" s="31">
        <v>-0.12</v>
      </c>
      <c r="V4" s="31">
        <v>-0.1</v>
      </c>
      <c r="W4" s="31">
        <v>-0.08</v>
      </c>
      <c r="X4" s="31">
        <v>-0.06</v>
      </c>
      <c r="Y4" s="31">
        <v>-0.04</v>
      </c>
      <c r="Z4" s="31">
        <v>-2.0000000000001E-2</v>
      </c>
      <c r="AA4" s="31">
        <v>-9.9920072216264108E-16</v>
      </c>
      <c r="AB4" s="31">
        <v>1.9999999999999001E-2</v>
      </c>
      <c r="AC4" s="31">
        <v>3.9999999999999002E-2</v>
      </c>
      <c r="AD4" s="31">
        <v>5.9999999999998999E-2</v>
      </c>
      <c r="AE4" s="31">
        <v>7.9999999999999002E-2</v>
      </c>
      <c r="AF4" s="31">
        <v>9.9999999999999006E-2</v>
      </c>
      <c r="AG4" s="31">
        <v>0.119999999999999</v>
      </c>
      <c r="AH4" s="31">
        <v>0.13999999999999899</v>
      </c>
      <c r="AI4" s="31">
        <v>0.159999999999999</v>
      </c>
      <c r="AJ4" s="31">
        <v>0.17999999999999899</v>
      </c>
      <c r="AK4" s="31">
        <v>0.19999999999999901</v>
      </c>
      <c r="AL4" s="31">
        <v>0.219999999999999</v>
      </c>
      <c r="AM4" s="31">
        <v>0.23999999999999899</v>
      </c>
      <c r="AN4" s="31">
        <v>0.25999999999999901</v>
      </c>
      <c r="AO4" s="31">
        <v>0.27999999999999903</v>
      </c>
      <c r="AP4" s="31">
        <v>0.29999999999999899</v>
      </c>
      <c r="AR4">
        <v>5.5642456805402099E-2</v>
      </c>
      <c r="AS4">
        <v>2.2215296665958079E-3</v>
      </c>
    </row>
    <row r="5" spans="1:45" x14ac:dyDescent="0.2">
      <c r="K5" s="31">
        <v>-0.3</v>
      </c>
      <c r="L5" s="32">
        <f t="dataTable" ref="L5:AP35" dt2D="1" dtr="1" r1="B3" r2="C3"/>
        <v>2.5756947372280498E-3</v>
      </c>
      <c r="M5" s="32">
        <v>2.3986122019119291E-3</v>
      </c>
      <c r="N5" s="32">
        <v>2.2215296665958079E-3</v>
      </c>
      <c r="O5" s="32">
        <v>2.0444471312796872E-3</v>
      </c>
      <c r="P5" s="32">
        <v>1.8673645959635665E-3</v>
      </c>
      <c r="Q5" s="32">
        <v>1.6902820606474458E-3</v>
      </c>
      <c r="R5" s="32">
        <v>1.5131995253313249E-3</v>
      </c>
      <c r="S5" s="32">
        <v>1.3361169900152042E-3</v>
      </c>
      <c r="T5" s="32">
        <v>1.1590344546990837E-3</v>
      </c>
      <c r="U5" s="32">
        <v>9.8195191938296278E-4</v>
      </c>
      <c r="V5" s="32">
        <v>8.0486938406684196E-4</v>
      </c>
      <c r="W5" s="32">
        <v>6.2778684875072115E-4</v>
      </c>
      <c r="X5" s="32">
        <v>4.5070431343460039E-4</v>
      </c>
      <c r="Y5" s="32">
        <v>2.7362177811847963E-4</v>
      </c>
      <c r="Z5" s="32">
        <v>9.6539242802367789E-5</v>
      </c>
      <c r="AA5" s="32">
        <v>-8.0543292513752943E-5</v>
      </c>
      <c r="AB5" s="32">
        <v>-2.576258278298737E-4</v>
      </c>
      <c r="AC5" s="32">
        <v>-4.3470836314599441E-4</v>
      </c>
      <c r="AD5" s="32">
        <v>-6.1179089846211522E-4</v>
      </c>
      <c r="AE5" s="32">
        <v>-7.8887343377823604E-4</v>
      </c>
      <c r="AF5" s="32">
        <v>-9.6595596909435674E-4</v>
      </c>
      <c r="AG5" s="32">
        <v>-1.1430385044104772E-3</v>
      </c>
      <c r="AH5" s="32">
        <v>-1.3201210397265979E-3</v>
      </c>
      <c r="AI5" s="32">
        <v>-1.4972035750427191E-3</v>
      </c>
      <c r="AJ5" s="32">
        <v>-1.6742861103588396E-3</v>
      </c>
      <c r="AK5" s="32">
        <v>-1.8513686456749605E-3</v>
      </c>
      <c r="AL5" s="32">
        <v>-2.0284511809910816E-3</v>
      </c>
      <c r="AM5" s="32">
        <v>-2.2055337163072019E-3</v>
      </c>
      <c r="AN5" s="32">
        <v>-2.382616251623323E-3</v>
      </c>
      <c r="AO5" s="32">
        <v>-2.5596987869394433E-3</v>
      </c>
      <c r="AP5" s="32">
        <v>-2.736781322255564E-3</v>
      </c>
      <c r="AR5">
        <v>5.3059455225430457E-2</v>
      </c>
      <c r="AS5">
        <v>2.0444471312796872E-3</v>
      </c>
    </row>
    <row r="6" spans="1:45" x14ac:dyDescent="0.2">
      <c r="A6" t="s">
        <v>1989</v>
      </c>
      <c r="B6" s="30">
        <f>AVERAGE(Kenechukwu!I4:'Kenechukwu'!I254)</f>
        <v>-8.86760907408932E-3</v>
      </c>
      <c r="C6" t="s">
        <v>1991</v>
      </c>
      <c r="D6">
        <f>_xlfn.VAR.S(Kenechukwu!I4:I254)</f>
        <v>2.6125958596861322E-2</v>
      </c>
      <c r="E6" t="s">
        <v>1994</v>
      </c>
      <c r="F6">
        <f>_xlfn.COVARIANCE.S(Kenechukwu!I4:I254,Morgan!I4:'Morgan'!I254)</f>
        <v>2.1523673414648956E-4</v>
      </c>
      <c r="K6" s="31">
        <v>-0.28000000000000003</v>
      </c>
      <c r="L6" s="32">
        <v>2.5801654695100816E-3</v>
      </c>
      <c r="M6" s="32">
        <v>2.4030829341939609E-3</v>
      </c>
      <c r="N6" s="32">
        <v>2.2260003988778402E-3</v>
      </c>
      <c r="O6" s="32">
        <v>2.048917863561719E-3</v>
      </c>
      <c r="P6" s="32">
        <v>1.8718353282455981E-3</v>
      </c>
      <c r="Q6" s="32">
        <v>1.6947527929294776E-3</v>
      </c>
      <c r="R6" s="32">
        <v>1.5176702576133567E-3</v>
      </c>
      <c r="S6" s="32">
        <v>1.340587722297236E-3</v>
      </c>
      <c r="T6" s="32">
        <v>1.1635051869811155E-3</v>
      </c>
      <c r="U6" s="32">
        <v>9.8642265166499457E-4</v>
      </c>
      <c r="V6" s="32">
        <v>8.0934011634887398E-4</v>
      </c>
      <c r="W6" s="32">
        <v>6.3225758103275316E-4</v>
      </c>
      <c r="X6" s="32">
        <v>4.5517504571663235E-4</v>
      </c>
      <c r="Y6" s="32">
        <v>2.7809251040051164E-4</v>
      </c>
      <c r="Z6" s="32">
        <v>1.0100997508439975E-4</v>
      </c>
      <c r="AA6" s="32">
        <v>-7.6072560231721012E-5</v>
      </c>
      <c r="AB6" s="32">
        <v>-2.5315509554784174E-4</v>
      </c>
      <c r="AC6" s="32">
        <v>-4.302376308639625E-4</v>
      </c>
      <c r="AD6" s="32">
        <v>-6.0732016618008321E-4</v>
      </c>
      <c r="AE6" s="32">
        <v>-7.8440270149620402E-4</v>
      </c>
      <c r="AF6" s="32">
        <v>-9.6148523681232484E-4</v>
      </c>
      <c r="AG6" s="32">
        <v>-1.1385677721284454E-3</v>
      </c>
      <c r="AH6" s="32">
        <v>-1.3156503074445664E-3</v>
      </c>
      <c r="AI6" s="32">
        <v>-1.4927328427606873E-3</v>
      </c>
      <c r="AJ6" s="32">
        <v>-1.6698153780768078E-3</v>
      </c>
      <c r="AK6" s="32">
        <v>-1.8468979133929287E-3</v>
      </c>
      <c r="AL6" s="32">
        <v>-2.0239804487090494E-3</v>
      </c>
      <c r="AM6" s="32">
        <v>-2.2010629840251701E-3</v>
      </c>
      <c r="AN6" s="32">
        <v>-2.3781455193412908E-3</v>
      </c>
      <c r="AO6" s="32">
        <v>-2.5552280546574115E-3</v>
      </c>
      <c r="AP6" s="32">
        <v>-2.7323105899735318E-3</v>
      </c>
      <c r="AR6">
        <v>5.0551508515704509E-2</v>
      </c>
      <c r="AS6">
        <v>1.8673645959635665E-3</v>
      </c>
    </row>
    <row r="7" spans="1:45" x14ac:dyDescent="0.2">
      <c r="A7" t="s">
        <v>1997</v>
      </c>
      <c r="B7">
        <f>AVERAGE(Morgan!I4:I254)</f>
        <v>2.1005430581831513E-4</v>
      </c>
      <c r="C7" t="s">
        <v>1992</v>
      </c>
      <c r="D7">
        <f>_xlfn.VAR.S(Morgan!I4:I254)</f>
        <v>5.8399170823227866E-4</v>
      </c>
      <c r="E7" t="s">
        <v>1995</v>
      </c>
      <c r="F7">
        <f>_xlfn.COVARIANCE.S(Kenechukwu!I4:I254,Lisa!I4:'Lisa'!I254)</f>
        <v>3.1143538674375214E-4</v>
      </c>
      <c r="K7" s="31">
        <v>-0.26</v>
      </c>
      <c r="L7" s="32">
        <v>2.5846362017921134E-3</v>
      </c>
      <c r="M7" s="32">
        <v>2.4075536664759931E-3</v>
      </c>
      <c r="N7" s="32">
        <v>2.230471131159872E-3</v>
      </c>
      <c r="O7" s="32">
        <v>2.0533885958437512E-3</v>
      </c>
      <c r="P7" s="32">
        <v>1.8763060605276301E-3</v>
      </c>
      <c r="Q7" s="32">
        <v>1.6992235252115096E-3</v>
      </c>
      <c r="R7" s="32">
        <v>1.5221409898953887E-3</v>
      </c>
      <c r="S7" s="32">
        <v>1.345058454579268E-3</v>
      </c>
      <c r="T7" s="32">
        <v>1.1679759192631475E-3</v>
      </c>
      <c r="U7" s="32">
        <v>9.9089338394702637E-4</v>
      </c>
      <c r="V7" s="32">
        <v>8.1381084863090599E-4</v>
      </c>
      <c r="W7" s="32">
        <v>6.3672831331478507E-4</v>
      </c>
      <c r="X7" s="32">
        <v>4.5964577799866436E-4</v>
      </c>
      <c r="Y7" s="32">
        <v>2.825632426825436E-4</v>
      </c>
      <c r="Z7" s="32">
        <v>1.0548070736643169E-4</v>
      </c>
      <c r="AA7" s="32">
        <v>-7.1601827949689054E-5</v>
      </c>
      <c r="AB7" s="32">
        <v>-2.4868436326580984E-4</v>
      </c>
      <c r="AC7" s="32">
        <v>-4.257668985819306E-4</v>
      </c>
      <c r="AD7" s="32">
        <v>-6.028494338980512E-4</v>
      </c>
      <c r="AE7" s="32">
        <v>-7.7993196921417212E-4</v>
      </c>
      <c r="AF7" s="32">
        <v>-9.5701450453029282E-4</v>
      </c>
      <c r="AG7" s="32">
        <v>-1.1340970398464136E-3</v>
      </c>
      <c r="AH7" s="32">
        <v>-1.3111795751625343E-3</v>
      </c>
      <c r="AI7" s="32">
        <v>-1.4882621104786553E-3</v>
      </c>
      <c r="AJ7" s="32">
        <v>-1.6653446457947758E-3</v>
      </c>
      <c r="AK7" s="32">
        <v>-1.8424271811108967E-3</v>
      </c>
      <c r="AL7" s="32">
        <v>-2.0195097164270176E-3</v>
      </c>
      <c r="AM7" s="32">
        <v>-2.1965922517431379E-3</v>
      </c>
      <c r="AN7" s="32">
        <v>-2.373674787059259E-3</v>
      </c>
      <c r="AO7" s="32">
        <v>-2.5507573223753793E-3</v>
      </c>
      <c r="AP7" s="32">
        <v>-2.7278398576915E-3</v>
      </c>
      <c r="AR7">
        <v>4.8130350845622331E-2</v>
      </c>
      <c r="AS7">
        <v>1.6902820606474458E-3</v>
      </c>
    </row>
    <row r="8" spans="1:45" x14ac:dyDescent="0.2">
      <c r="A8" t="s">
        <v>1990</v>
      </c>
      <c r="B8" s="30">
        <f>AVERAGE(Lisa!I4:'Lisa'!I254)</f>
        <v>-1.3482308283282509E-5</v>
      </c>
      <c r="C8" t="s">
        <v>1993</v>
      </c>
      <c r="D8">
        <f>_xlfn.VAR.S(Lisa!I4:I254)</f>
        <v>6.5495582095870155E-4</v>
      </c>
      <c r="E8" t="s">
        <v>1996</v>
      </c>
      <c r="F8">
        <f>_xlfn.COVARIANCE.S(Morgan!I4:I254,Lisa!I4:I254)</f>
        <v>1.0409410922340643E-4</v>
      </c>
      <c r="K8" s="31">
        <v>-0.24</v>
      </c>
      <c r="L8" s="32">
        <v>2.5891069340741456E-3</v>
      </c>
      <c r="M8" s="32">
        <v>2.4120243987580249E-3</v>
      </c>
      <c r="N8" s="32">
        <v>2.2349418634419042E-3</v>
      </c>
      <c r="O8" s="32">
        <v>2.057859328125783E-3</v>
      </c>
      <c r="P8" s="32">
        <v>1.8807767928096621E-3</v>
      </c>
      <c r="Q8" s="32">
        <v>1.7036942574935416E-3</v>
      </c>
      <c r="R8" s="32">
        <v>1.5266117221774207E-3</v>
      </c>
      <c r="S8" s="32">
        <v>1.3495291868613E-3</v>
      </c>
      <c r="T8" s="32">
        <v>1.1724466515451793E-3</v>
      </c>
      <c r="U8" s="32">
        <v>9.9536411622905838E-4</v>
      </c>
      <c r="V8" s="32">
        <v>8.1828158091293789E-4</v>
      </c>
      <c r="W8" s="32">
        <v>6.4119904559681708E-4</v>
      </c>
      <c r="X8" s="32">
        <v>4.6411651028069626E-4</v>
      </c>
      <c r="Y8" s="32">
        <v>2.8703397496457556E-4</v>
      </c>
      <c r="Z8" s="32">
        <v>1.0995143964846366E-4</v>
      </c>
      <c r="AA8" s="32">
        <v>-6.7131095667657096E-5</v>
      </c>
      <c r="AB8" s="32">
        <v>-2.4421363098377788E-4</v>
      </c>
      <c r="AC8" s="32">
        <v>-4.2129616629989859E-4</v>
      </c>
      <c r="AD8" s="32">
        <v>-5.9837870161601929E-4</v>
      </c>
      <c r="AE8" s="32">
        <v>-7.7546123693214011E-4</v>
      </c>
      <c r="AF8" s="32">
        <v>-9.5254377224826081E-4</v>
      </c>
      <c r="AG8" s="32">
        <v>-1.1296263075643816E-3</v>
      </c>
      <c r="AH8" s="32">
        <v>-1.3067088428805023E-3</v>
      </c>
      <c r="AI8" s="32">
        <v>-1.4837913781966233E-3</v>
      </c>
      <c r="AJ8" s="32">
        <v>-1.6608739135127437E-3</v>
      </c>
      <c r="AK8" s="32">
        <v>-1.8379564488288647E-3</v>
      </c>
      <c r="AL8" s="32">
        <v>-2.0150389841449854E-3</v>
      </c>
      <c r="AM8" s="32">
        <v>-2.1921215194611061E-3</v>
      </c>
      <c r="AN8" s="32">
        <v>-2.3692040547772268E-3</v>
      </c>
      <c r="AO8" s="32">
        <v>-2.5462865900933475E-3</v>
      </c>
      <c r="AP8" s="32">
        <v>-2.7233691254094682E-3</v>
      </c>
      <c r="AR8">
        <v>4.5809745325067201E-2</v>
      </c>
      <c r="AS8">
        <v>1.5131995253313249E-3</v>
      </c>
    </row>
    <row r="9" spans="1:45" x14ac:dyDescent="0.2">
      <c r="K9" s="31">
        <v>-0.22</v>
      </c>
      <c r="L9" s="32">
        <v>2.5935776663561774E-3</v>
      </c>
      <c r="M9" s="32">
        <v>2.4164951310400571E-3</v>
      </c>
      <c r="N9" s="32">
        <v>2.239412595723936E-3</v>
      </c>
      <c r="O9" s="32">
        <v>2.0623300604078153E-3</v>
      </c>
      <c r="P9" s="32">
        <v>1.8852475250916941E-3</v>
      </c>
      <c r="Q9" s="32">
        <v>1.7081649897755736E-3</v>
      </c>
      <c r="R9" s="32">
        <v>1.5310824544594527E-3</v>
      </c>
      <c r="S9" s="32">
        <v>1.3539999191433318E-3</v>
      </c>
      <c r="T9" s="32">
        <v>1.1769173838272113E-3</v>
      </c>
      <c r="U9" s="32">
        <v>9.9983484851109039E-4</v>
      </c>
      <c r="V9" s="32">
        <v>8.227523131949698E-4</v>
      </c>
      <c r="W9" s="32">
        <v>6.4566977787884898E-4</v>
      </c>
      <c r="X9" s="32">
        <v>4.6858724256272828E-4</v>
      </c>
      <c r="Y9" s="32">
        <v>2.9150470724660752E-4</v>
      </c>
      <c r="Z9" s="32">
        <v>1.1442217193049559E-4</v>
      </c>
      <c r="AA9" s="32">
        <v>-6.2660363385625139E-5</v>
      </c>
      <c r="AB9" s="32">
        <v>-2.397428987017459E-4</v>
      </c>
      <c r="AC9" s="32">
        <v>-4.1682543401786663E-4</v>
      </c>
      <c r="AD9" s="32">
        <v>-5.9390796933398739E-4</v>
      </c>
      <c r="AE9" s="32">
        <v>-7.709905046501082E-4</v>
      </c>
      <c r="AF9" s="32">
        <v>-9.4807303996622902E-4</v>
      </c>
      <c r="AG9" s="32">
        <v>-1.1251555752823496E-3</v>
      </c>
      <c r="AH9" s="32">
        <v>-1.3022381105984703E-3</v>
      </c>
      <c r="AI9" s="32">
        <v>-1.4793206459145912E-3</v>
      </c>
      <c r="AJ9" s="32">
        <v>-1.6564031812307117E-3</v>
      </c>
      <c r="AK9" s="32">
        <v>-1.8334857165468329E-3</v>
      </c>
      <c r="AL9" s="32">
        <v>-2.0105682518629536E-3</v>
      </c>
      <c r="AM9" s="32">
        <v>-2.1876507871790738E-3</v>
      </c>
      <c r="AN9" s="32">
        <v>-2.364733322495195E-3</v>
      </c>
      <c r="AO9" s="32">
        <v>-2.5418158578113157E-3</v>
      </c>
      <c r="AP9" s="32">
        <v>-2.718898393127436E-3</v>
      </c>
      <c r="AR9">
        <v>4.3605748427103061E-2</v>
      </c>
      <c r="AS9">
        <v>1.3361169900152042E-3</v>
      </c>
    </row>
    <row r="10" spans="1:45" x14ac:dyDescent="0.2">
      <c r="K10" s="31">
        <v>-0.2</v>
      </c>
      <c r="L10" s="32">
        <v>2.5980483986382096E-3</v>
      </c>
      <c r="M10" s="32">
        <v>2.4209658633220889E-3</v>
      </c>
      <c r="N10" s="32">
        <v>2.2438833280059682E-3</v>
      </c>
      <c r="O10" s="32">
        <v>2.0668007926898471E-3</v>
      </c>
      <c r="P10" s="32">
        <v>1.8897182573737261E-3</v>
      </c>
      <c r="Q10" s="32">
        <v>1.7126357220576057E-3</v>
      </c>
      <c r="R10" s="32">
        <v>1.5355531867414845E-3</v>
      </c>
      <c r="S10" s="32">
        <v>1.3584706514253638E-3</v>
      </c>
      <c r="T10" s="32">
        <v>1.1813881161092433E-3</v>
      </c>
      <c r="U10" s="32">
        <v>1.0043055807931224E-3</v>
      </c>
      <c r="V10" s="32">
        <v>8.2722304547700181E-4</v>
      </c>
      <c r="W10" s="32">
        <v>6.5014051016088089E-4</v>
      </c>
      <c r="X10" s="32">
        <v>4.7305797484476018E-4</v>
      </c>
      <c r="Y10" s="32">
        <v>2.9597543952863942E-4</v>
      </c>
      <c r="Z10" s="32">
        <v>1.1889290421252757E-4</v>
      </c>
      <c r="AA10" s="32">
        <v>-5.8189631103593194E-5</v>
      </c>
      <c r="AB10" s="32">
        <v>-2.3527216641971397E-4</v>
      </c>
      <c r="AC10" s="32">
        <v>-4.1235470173583473E-4</v>
      </c>
      <c r="AD10" s="32">
        <v>-5.8943723705195538E-4</v>
      </c>
      <c r="AE10" s="32">
        <v>-7.665197723680763E-4</v>
      </c>
      <c r="AF10" s="32">
        <v>-9.43602307684197E-4</v>
      </c>
      <c r="AG10" s="32">
        <v>-1.1206848430003176E-3</v>
      </c>
      <c r="AH10" s="32">
        <v>-1.2977673783164383E-3</v>
      </c>
      <c r="AI10" s="32">
        <v>-1.4748499136325592E-3</v>
      </c>
      <c r="AJ10" s="32">
        <v>-1.6519324489486799E-3</v>
      </c>
      <c r="AK10" s="32">
        <v>-1.8290149842648009E-3</v>
      </c>
      <c r="AL10" s="32">
        <v>-2.0060975195809213E-3</v>
      </c>
      <c r="AM10" s="32">
        <v>-2.1831800548970421E-3</v>
      </c>
      <c r="AN10" s="32">
        <v>-2.3602625902131632E-3</v>
      </c>
      <c r="AO10" s="32">
        <v>-2.5373451255292835E-3</v>
      </c>
      <c r="AP10" s="32">
        <v>-2.7144276608454042E-3</v>
      </c>
      <c r="AR10">
        <v>4.1536926462408745E-2</v>
      </c>
      <c r="AS10">
        <v>1.1590344546990837E-3</v>
      </c>
    </row>
    <row r="11" spans="1:45" x14ac:dyDescent="0.2">
      <c r="K11" s="31">
        <v>-0.18</v>
      </c>
      <c r="L11" s="32">
        <v>2.602519130920241E-3</v>
      </c>
      <c r="M11" s="32">
        <v>2.4254365956041207E-3</v>
      </c>
      <c r="N11" s="32">
        <v>2.2483540602879996E-3</v>
      </c>
      <c r="O11" s="32">
        <v>2.0712715249718784E-3</v>
      </c>
      <c r="P11" s="32">
        <v>1.8941889896557582E-3</v>
      </c>
      <c r="Q11" s="32">
        <v>1.7171064543396375E-3</v>
      </c>
      <c r="R11" s="32">
        <v>1.5400239190235165E-3</v>
      </c>
      <c r="S11" s="32">
        <v>1.3629413837073958E-3</v>
      </c>
      <c r="T11" s="32">
        <v>1.1858588483912753E-3</v>
      </c>
      <c r="U11" s="32">
        <v>1.0087763130751544E-3</v>
      </c>
      <c r="V11" s="32">
        <v>8.3169377775903371E-4</v>
      </c>
      <c r="W11" s="32">
        <v>6.546112424429129E-4</v>
      </c>
      <c r="X11" s="32">
        <v>4.7752870712679214E-4</v>
      </c>
      <c r="Y11" s="32">
        <v>3.0044617181067138E-4</v>
      </c>
      <c r="Z11" s="32">
        <v>1.2336363649455951E-4</v>
      </c>
      <c r="AA11" s="32">
        <v>-5.3718898821561236E-5</v>
      </c>
      <c r="AB11" s="32">
        <v>-2.3080143413768201E-4</v>
      </c>
      <c r="AC11" s="32">
        <v>-4.0788396945380271E-4</v>
      </c>
      <c r="AD11" s="32">
        <v>-5.8496650476992347E-4</v>
      </c>
      <c r="AE11" s="32">
        <v>-7.6204904008604429E-4</v>
      </c>
      <c r="AF11" s="32">
        <v>-9.3913157540216499E-4</v>
      </c>
      <c r="AG11" s="32">
        <v>-1.1162141107182856E-3</v>
      </c>
      <c r="AH11" s="32">
        <v>-1.2932966460344063E-3</v>
      </c>
      <c r="AI11" s="32">
        <v>-1.4703791813505274E-3</v>
      </c>
      <c r="AJ11" s="32">
        <v>-1.6474617166666479E-3</v>
      </c>
      <c r="AK11" s="32">
        <v>-1.8245442519827688E-3</v>
      </c>
      <c r="AL11" s="32">
        <v>-2.0016267872988895E-3</v>
      </c>
      <c r="AM11" s="32">
        <v>-2.1787093226150107E-3</v>
      </c>
      <c r="AN11" s="32">
        <v>-2.3557918579311314E-3</v>
      </c>
      <c r="AO11" s="32">
        <v>-2.5328743932472521E-3</v>
      </c>
      <c r="AP11" s="32">
        <v>-2.7099569285633724E-3</v>
      </c>
      <c r="AR11">
        <v>3.962445783748679E-2</v>
      </c>
      <c r="AS11">
        <v>9.8195191938296278E-4</v>
      </c>
    </row>
    <row r="12" spans="1:45" x14ac:dyDescent="0.2">
      <c r="K12" s="31">
        <v>-0.16</v>
      </c>
      <c r="L12" s="32">
        <v>2.6069898632022732E-3</v>
      </c>
      <c r="M12" s="32">
        <v>2.4299073278861525E-3</v>
      </c>
      <c r="N12" s="32">
        <v>2.2528247925700314E-3</v>
      </c>
      <c r="O12" s="32">
        <v>2.0757422572539107E-3</v>
      </c>
      <c r="P12" s="32">
        <v>1.89865972193779E-3</v>
      </c>
      <c r="Q12" s="32">
        <v>1.7215771866216695E-3</v>
      </c>
      <c r="R12" s="32">
        <v>1.5444946513055485E-3</v>
      </c>
      <c r="S12" s="32">
        <v>1.3674121159894278E-3</v>
      </c>
      <c r="T12" s="32">
        <v>1.1903295806733074E-3</v>
      </c>
      <c r="U12" s="32">
        <v>1.0132470453571864E-3</v>
      </c>
      <c r="V12" s="32">
        <v>8.3616451004106572E-4</v>
      </c>
      <c r="W12" s="32">
        <v>6.5908197472494491E-4</v>
      </c>
      <c r="X12" s="32">
        <v>4.819994394088241E-4</v>
      </c>
      <c r="Y12" s="32">
        <v>3.0491690409270334E-4</v>
      </c>
      <c r="Z12" s="32">
        <v>1.2783436877659147E-4</v>
      </c>
      <c r="AA12" s="32">
        <v>-4.9248166539529285E-5</v>
      </c>
      <c r="AB12" s="32">
        <v>-2.2633070185565005E-4</v>
      </c>
      <c r="AC12" s="32">
        <v>-4.0341323717177081E-4</v>
      </c>
      <c r="AD12" s="32">
        <v>-5.8049577248789146E-4</v>
      </c>
      <c r="AE12" s="32">
        <v>-7.5757830780401228E-4</v>
      </c>
      <c r="AF12" s="32">
        <v>-9.3466084312013309E-4</v>
      </c>
      <c r="AG12" s="32">
        <v>-1.1117433784362536E-3</v>
      </c>
      <c r="AH12" s="32">
        <v>-1.2888259137523745E-3</v>
      </c>
      <c r="AI12" s="32">
        <v>-1.4659084490684954E-3</v>
      </c>
      <c r="AJ12" s="32">
        <v>-1.6429909843846159E-3</v>
      </c>
      <c r="AK12" s="32">
        <v>-1.8200735197007368E-3</v>
      </c>
      <c r="AL12" s="32">
        <v>-1.9971560550168578E-3</v>
      </c>
      <c r="AM12" s="32">
        <v>-2.1742385903329785E-3</v>
      </c>
      <c r="AN12" s="32">
        <v>-2.3513211256490996E-3</v>
      </c>
      <c r="AO12" s="32">
        <v>-2.5284036609652199E-3</v>
      </c>
      <c r="AP12" s="32">
        <v>-2.7054861962813406E-3</v>
      </c>
      <c r="AR12">
        <v>3.7892024131754305E-2</v>
      </c>
      <c r="AS12">
        <v>8.0486938406684196E-4</v>
      </c>
    </row>
    <row r="13" spans="1:45" x14ac:dyDescent="0.2">
      <c r="K13" s="31">
        <v>-0.14000000000000001</v>
      </c>
      <c r="L13" s="32">
        <v>2.611460595484305E-3</v>
      </c>
      <c r="M13" s="32">
        <v>2.4343780601681843E-3</v>
      </c>
      <c r="N13" s="32">
        <v>2.2572955248520636E-3</v>
      </c>
      <c r="O13" s="32">
        <v>2.0802129895359425E-3</v>
      </c>
      <c r="P13" s="32">
        <v>1.903130454219822E-3</v>
      </c>
      <c r="Q13" s="32">
        <v>1.7260479189037015E-3</v>
      </c>
      <c r="R13" s="32">
        <v>1.5489653835875806E-3</v>
      </c>
      <c r="S13" s="32">
        <v>1.3718828482714599E-3</v>
      </c>
      <c r="T13" s="32">
        <v>1.1948003129553394E-3</v>
      </c>
      <c r="U13" s="32">
        <v>1.0177177776392182E-3</v>
      </c>
      <c r="V13" s="32">
        <v>8.4063524232309763E-4</v>
      </c>
      <c r="W13" s="32">
        <v>6.6355270700697671E-4</v>
      </c>
      <c r="X13" s="32">
        <v>4.86470171690856E-4</v>
      </c>
      <c r="Y13" s="32">
        <v>3.0938763637473529E-4</v>
      </c>
      <c r="Z13" s="32">
        <v>1.3230510105862343E-4</v>
      </c>
      <c r="AA13" s="32">
        <v>-4.4777434257497334E-5</v>
      </c>
      <c r="AB13" s="32">
        <v>-2.2185996957361809E-4</v>
      </c>
      <c r="AC13" s="32">
        <v>-3.9894250488973885E-4</v>
      </c>
      <c r="AD13" s="32">
        <v>-5.7602504020585956E-4</v>
      </c>
      <c r="AE13" s="32">
        <v>-7.5310757552198048E-4</v>
      </c>
      <c r="AF13" s="32">
        <v>-9.3019011083810119E-4</v>
      </c>
      <c r="AG13" s="32">
        <v>-1.1072726461542218E-3</v>
      </c>
      <c r="AH13" s="32">
        <v>-1.2843551814703425E-3</v>
      </c>
      <c r="AI13" s="32">
        <v>-1.4614377167864634E-3</v>
      </c>
      <c r="AJ13" s="32">
        <v>-1.6385202521025839E-3</v>
      </c>
      <c r="AK13" s="32">
        <v>-1.8156027874187048E-3</v>
      </c>
      <c r="AL13" s="32">
        <v>-1.9926853227348255E-3</v>
      </c>
      <c r="AM13" s="32">
        <v>-2.1697678580509467E-3</v>
      </c>
      <c r="AN13" s="32">
        <v>-2.3468503933670674E-3</v>
      </c>
      <c r="AO13" s="32">
        <v>-2.5239329286831881E-3</v>
      </c>
      <c r="AP13" s="32">
        <v>-2.7010154639993088E-3</v>
      </c>
      <c r="AR13">
        <v>3.6365364862786673E-2</v>
      </c>
      <c r="AS13">
        <v>6.2778684875072115E-4</v>
      </c>
    </row>
    <row r="14" spans="1:45" x14ac:dyDescent="0.2">
      <c r="K14" s="31">
        <v>-0.12</v>
      </c>
      <c r="L14" s="32">
        <v>2.6159313277663368E-3</v>
      </c>
      <c r="M14" s="32">
        <v>2.4388487924502165E-3</v>
      </c>
      <c r="N14" s="32">
        <v>2.2617662571340954E-3</v>
      </c>
      <c r="O14" s="32">
        <v>2.0846837218179747E-3</v>
      </c>
      <c r="P14" s="32">
        <v>1.907601186501854E-3</v>
      </c>
      <c r="Q14" s="32">
        <v>1.7305186511857335E-3</v>
      </c>
      <c r="R14" s="32">
        <v>1.5534361158696126E-3</v>
      </c>
      <c r="S14" s="32">
        <v>1.3763535805534919E-3</v>
      </c>
      <c r="T14" s="32">
        <v>1.1992710452373712E-3</v>
      </c>
      <c r="U14" s="32">
        <v>1.0221885099212502E-3</v>
      </c>
      <c r="V14" s="32">
        <v>8.4510597460512953E-4</v>
      </c>
      <c r="W14" s="32">
        <v>6.6802343928900872E-4</v>
      </c>
      <c r="X14" s="32">
        <v>4.9094090397288801E-4</v>
      </c>
      <c r="Y14" s="32">
        <v>3.1385836865676725E-4</v>
      </c>
      <c r="Z14" s="32">
        <v>1.3677583334065536E-4</v>
      </c>
      <c r="AA14" s="32">
        <v>-4.0306701975465376E-5</v>
      </c>
      <c r="AB14" s="32">
        <v>-2.1738923729158614E-4</v>
      </c>
      <c r="AC14" s="32">
        <v>-3.9447177260770684E-4</v>
      </c>
      <c r="AD14" s="32">
        <v>-5.7155430792382765E-4</v>
      </c>
      <c r="AE14" s="32">
        <v>-7.4863684323994847E-4</v>
      </c>
      <c r="AF14" s="32">
        <v>-9.2571937855606917E-4</v>
      </c>
      <c r="AG14" s="32">
        <v>-1.1028019138721898E-3</v>
      </c>
      <c r="AH14" s="32">
        <v>-1.2798844491883105E-3</v>
      </c>
      <c r="AI14" s="32">
        <v>-1.4569669845044314E-3</v>
      </c>
      <c r="AJ14" s="32">
        <v>-1.6340495198205519E-3</v>
      </c>
      <c r="AK14" s="32">
        <v>-1.8111320551366728E-3</v>
      </c>
      <c r="AL14" s="32">
        <v>-1.9882145904527937E-3</v>
      </c>
      <c r="AM14" s="32">
        <v>-2.1652971257689144E-3</v>
      </c>
      <c r="AN14" s="32">
        <v>-2.3423796610850356E-3</v>
      </c>
      <c r="AO14" s="32">
        <v>-2.5194621964011563E-3</v>
      </c>
      <c r="AP14" s="32">
        <v>-2.6965447317172766E-3</v>
      </c>
      <c r="AR14">
        <v>3.5071362467420826E-2</v>
      </c>
      <c r="AS14">
        <v>4.5070431343460039E-4</v>
      </c>
    </row>
    <row r="15" spans="1:45" x14ac:dyDescent="0.2">
      <c r="K15" s="31">
        <v>-0.1</v>
      </c>
      <c r="L15" s="32">
        <v>2.620402060048369E-3</v>
      </c>
      <c r="M15" s="32">
        <v>2.4433195247322483E-3</v>
      </c>
      <c r="N15" s="32">
        <v>2.2662369894161276E-3</v>
      </c>
      <c r="O15" s="32">
        <v>2.0891544541000065E-3</v>
      </c>
      <c r="P15" s="32">
        <v>1.912071918783886E-3</v>
      </c>
      <c r="Q15" s="32">
        <v>1.7349893834677655E-3</v>
      </c>
      <c r="R15" s="32">
        <v>1.5579068481516446E-3</v>
      </c>
      <c r="S15" s="32">
        <v>1.3808243128355237E-3</v>
      </c>
      <c r="T15" s="32">
        <v>1.2037417775194032E-3</v>
      </c>
      <c r="U15" s="32">
        <v>1.0266592422032822E-3</v>
      </c>
      <c r="V15" s="32">
        <v>8.4957670688716154E-4</v>
      </c>
      <c r="W15" s="32">
        <v>6.7249417157104073E-4</v>
      </c>
      <c r="X15" s="32">
        <v>4.9541163625491992E-4</v>
      </c>
      <c r="Y15" s="32">
        <v>3.1832910093879921E-4</v>
      </c>
      <c r="Z15" s="32">
        <v>1.4124656562268731E-4</v>
      </c>
      <c r="AA15" s="32">
        <v>-3.5835969693433432E-5</v>
      </c>
      <c r="AB15" s="32">
        <v>-2.129185050095542E-4</v>
      </c>
      <c r="AC15" s="32">
        <v>-3.9000104032567494E-4</v>
      </c>
      <c r="AD15" s="32">
        <v>-5.6708357564179564E-4</v>
      </c>
      <c r="AE15" s="32">
        <v>-7.4416611095791646E-4</v>
      </c>
      <c r="AF15" s="32">
        <v>-9.2124864627403727E-4</v>
      </c>
      <c r="AG15" s="32">
        <v>-1.0983311815901578E-3</v>
      </c>
      <c r="AH15" s="32">
        <v>-1.2754137169062785E-3</v>
      </c>
      <c r="AI15" s="32">
        <v>-1.4524962522223994E-3</v>
      </c>
      <c r="AJ15" s="32">
        <v>-1.6295787875385199E-3</v>
      </c>
      <c r="AK15" s="32">
        <v>-1.806661322854641E-3</v>
      </c>
      <c r="AL15" s="32">
        <v>-1.9837438581707615E-3</v>
      </c>
      <c r="AM15" s="32">
        <v>-2.1608263934868826E-3</v>
      </c>
      <c r="AN15" s="32">
        <v>-2.3379089288030038E-3</v>
      </c>
      <c r="AO15" s="32">
        <v>-2.5149914641191241E-3</v>
      </c>
      <c r="AP15" s="32">
        <v>-2.6920739994352448E-3</v>
      </c>
      <c r="AR15">
        <v>3.4036562751757038E-2</v>
      </c>
      <c r="AS15">
        <v>2.7362177811847963E-4</v>
      </c>
    </row>
    <row r="16" spans="1:45" x14ac:dyDescent="0.2">
      <c r="K16" s="31">
        <v>-0.08</v>
      </c>
      <c r="L16" s="32">
        <v>2.6248727923304008E-3</v>
      </c>
      <c r="M16" s="32">
        <v>2.4477902570142806E-3</v>
      </c>
      <c r="N16" s="32">
        <v>2.2707077216981594E-3</v>
      </c>
      <c r="O16" s="32">
        <v>2.0936251863820383E-3</v>
      </c>
      <c r="P16" s="32">
        <v>1.9165426510659178E-3</v>
      </c>
      <c r="Q16" s="32">
        <v>1.7394601157497973E-3</v>
      </c>
      <c r="R16" s="32">
        <v>1.5623775804336762E-3</v>
      </c>
      <c r="S16" s="32">
        <v>1.3852950451175555E-3</v>
      </c>
      <c r="T16" s="32">
        <v>1.208212509801435E-3</v>
      </c>
      <c r="U16" s="32">
        <v>1.031129974485314E-3</v>
      </c>
      <c r="V16" s="32">
        <v>8.5404743916919356E-4</v>
      </c>
      <c r="W16" s="32">
        <v>6.7696490385307263E-4</v>
      </c>
      <c r="X16" s="32">
        <v>4.9988236853695193E-4</v>
      </c>
      <c r="Y16" s="32">
        <v>3.2279983322083117E-4</v>
      </c>
      <c r="Z16" s="32">
        <v>1.4571729790471925E-4</v>
      </c>
      <c r="AA16" s="32">
        <v>-3.1365237411401474E-5</v>
      </c>
      <c r="AB16" s="32">
        <v>-2.0844777272752225E-4</v>
      </c>
      <c r="AC16" s="32">
        <v>-3.8553030804364298E-4</v>
      </c>
      <c r="AD16" s="32">
        <v>-5.6261284335976363E-4</v>
      </c>
      <c r="AE16" s="32">
        <v>-7.3969537867588455E-4</v>
      </c>
      <c r="AF16" s="32">
        <v>-9.1677791399200526E-4</v>
      </c>
      <c r="AG16" s="32">
        <v>-1.093860449308126E-3</v>
      </c>
      <c r="AH16" s="32">
        <v>-1.2709429846242467E-3</v>
      </c>
      <c r="AI16" s="32">
        <v>-1.4480255199403676E-3</v>
      </c>
      <c r="AJ16" s="32">
        <v>-1.6251080552564883E-3</v>
      </c>
      <c r="AK16" s="32">
        <v>-1.8021905905726092E-3</v>
      </c>
      <c r="AL16" s="32">
        <v>-1.9792731258887297E-3</v>
      </c>
      <c r="AM16" s="32">
        <v>-2.1563556612048508E-3</v>
      </c>
      <c r="AN16" s="32">
        <v>-2.3334381965209715E-3</v>
      </c>
      <c r="AO16" s="32">
        <v>-2.5105207318370923E-3</v>
      </c>
      <c r="AP16" s="32">
        <v>-2.6876032671532125E-3</v>
      </c>
      <c r="AR16">
        <v>3.3285149503988157E-2</v>
      </c>
      <c r="AS16">
        <v>9.6539242802367789E-5</v>
      </c>
    </row>
    <row r="17" spans="11:45" x14ac:dyDescent="0.2">
      <c r="K17" s="31">
        <v>-0.06</v>
      </c>
      <c r="L17" s="32">
        <v>2.6293435246124331E-3</v>
      </c>
      <c r="M17" s="32">
        <v>2.4522609892963123E-3</v>
      </c>
      <c r="N17" s="32">
        <v>2.2751784539801912E-3</v>
      </c>
      <c r="O17" s="32">
        <v>2.0980959186640705E-3</v>
      </c>
      <c r="P17" s="32">
        <v>1.9210133833479498E-3</v>
      </c>
      <c r="Q17" s="32">
        <v>1.7439308480318291E-3</v>
      </c>
      <c r="R17" s="32">
        <v>1.5668483127157082E-3</v>
      </c>
      <c r="S17" s="32">
        <v>1.3897657773995875E-3</v>
      </c>
      <c r="T17" s="32">
        <v>1.212683242083467E-3</v>
      </c>
      <c r="U17" s="32">
        <v>1.0356007067673461E-3</v>
      </c>
      <c r="V17" s="32">
        <v>8.5851817145122546E-4</v>
      </c>
      <c r="W17" s="32">
        <v>6.8143563613510465E-4</v>
      </c>
      <c r="X17" s="32">
        <v>5.0435310081898394E-4</v>
      </c>
      <c r="Y17" s="32">
        <v>3.2727056550286307E-4</v>
      </c>
      <c r="Z17" s="32">
        <v>1.5018803018675123E-4</v>
      </c>
      <c r="AA17" s="32">
        <v>-2.6894505129369522E-5</v>
      </c>
      <c r="AB17" s="32">
        <v>-2.0397704044549026E-4</v>
      </c>
      <c r="AC17" s="32">
        <v>-3.8105957576161102E-4</v>
      </c>
      <c r="AD17" s="32">
        <v>-5.5814211107773173E-4</v>
      </c>
      <c r="AE17" s="32">
        <v>-7.3522464639385254E-4</v>
      </c>
      <c r="AF17" s="32">
        <v>-9.1230718170997325E-4</v>
      </c>
      <c r="AG17" s="32">
        <v>-1.089389717026094E-3</v>
      </c>
      <c r="AH17" s="32">
        <v>-1.2664722523422147E-3</v>
      </c>
      <c r="AI17" s="32">
        <v>-1.4435547876583358E-3</v>
      </c>
      <c r="AJ17" s="32">
        <v>-1.6206373229744563E-3</v>
      </c>
      <c r="AK17" s="32">
        <v>-1.7977198582905772E-3</v>
      </c>
      <c r="AL17" s="32">
        <v>-1.9748023936066979E-3</v>
      </c>
      <c r="AM17" s="32">
        <v>-2.1518849289228186E-3</v>
      </c>
      <c r="AN17" s="32">
        <v>-2.3289674642389398E-3</v>
      </c>
      <c r="AO17" s="32">
        <v>-2.50604999955506E-3</v>
      </c>
      <c r="AP17" s="32">
        <v>-2.6831325348711807E-3</v>
      </c>
      <c r="AR17">
        <v>3.283658304341143E-2</v>
      </c>
      <c r="AS17">
        <v>-8.0543292513752943E-5</v>
      </c>
    </row>
    <row r="18" spans="11:45" x14ac:dyDescent="0.2">
      <c r="K18" s="31">
        <v>-0.04</v>
      </c>
      <c r="L18" s="32">
        <v>2.6338142568944648E-3</v>
      </c>
      <c r="M18" s="32">
        <v>2.4567317215783441E-3</v>
      </c>
      <c r="N18" s="32">
        <v>2.2796491862622234E-3</v>
      </c>
      <c r="O18" s="32">
        <v>2.1025666509461023E-3</v>
      </c>
      <c r="P18" s="32">
        <v>1.9254841156299816E-3</v>
      </c>
      <c r="Q18" s="32">
        <v>1.7484015803138611E-3</v>
      </c>
      <c r="R18" s="32">
        <v>1.5713190449977402E-3</v>
      </c>
      <c r="S18" s="32">
        <v>1.3942365096816195E-3</v>
      </c>
      <c r="T18" s="32">
        <v>1.217153974365499E-3</v>
      </c>
      <c r="U18" s="32">
        <v>1.0400714390493781E-3</v>
      </c>
      <c r="V18" s="32">
        <v>8.6298890373325736E-4</v>
      </c>
      <c r="W18" s="32">
        <v>6.8590636841713655E-4</v>
      </c>
      <c r="X18" s="32">
        <v>5.0882383310101574E-4</v>
      </c>
      <c r="Y18" s="32">
        <v>3.3174129778489508E-4</v>
      </c>
      <c r="Z18" s="32">
        <v>1.5465876246878319E-4</v>
      </c>
      <c r="AA18" s="32">
        <v>-2.2423772847337571E-5</v>
      </c>
      <c r="AB18" s="32">
        <v>-1.9950630816345833E-4</v>
      </c>
      <c r="AC18" s="32">
        <v>-3.7658884347957906E-4</v>
      </c>
      <c r="AD18" s="32">
        <v>-5.5367137879569982E-4</v>
      </c>
      <c r="AE18" s="32">
        <v>-7.3075391411182064E-4</v>
      </c>
      <c r="AF18" s="32">
        <v>-9.0783644942794145E-4</v>
      </c>
      <c r="AG18" s="32">
        <v>-1.0849189847440619E-3</v>
      </c>
      <c r="AH18" s="32">
        <v>-1.2620015200601829E-3</v>
      </c>
      <c r="AI18" s="32">
        <v>-1.4390840553763038E-3</v>
      </c>
      <c r="AJ18" s="32">
        <v>-1.6161665906924243E-3</v>
      </c>
      <c r="AK18" s="32">
        <v>-1.7932491260085452E-3</v>
      </c>
      <c r="AL18" s="32">
        <v>-1.9703316613246657E-3</v>
      </c>
      <c r="AM18" s="32">
        <v>-2.1474141966407868E-3</v>
      </c>
      <c r="AN18" s="32">
        <v>-2.3244967319569075E-3</v>
      </c>
      <c r="AO18" s="32">
        <v>-2.5015792672730282E-3</v>
      </c>
      <c r="AP18" s="32">
        <v>-2.6786618025891485E-3</v>
      </c>
      <c r="AR18">
        <v>3.2703327496545857E-2</v>
      </c>
      <c r="AS18">
        <v>-2.576258278298737E-4</v>
      </c>
    </row>
    <row r="19" spans="11:45" x14ac:dyDescent="0.2">
      <c r="K19" s="31">
        <v>-2.0000000000001E-2</v>
      </c>
      <c r="L19" s="32">
        <v>2.6382849891764966E-3</v>
      </c>
      <c r="M19" s="32">
        <v>2.4612024538603764E-3</v>
      </c>
      <c r="N19" s="32">
        <v>2.2841199185442552E-3</v>
      </c>
      <c r="O19" s="32">
        <v>2.1070373832281345E-3</v>
      </c>
      <c r="P19" s="32">
        <v>1.9299548479120134E-3</v>
      </c>
      <c r="Q19" s="32">
        <v>1.7528723125958929E-3</v>
      </c>
      <c r="R19" s="32">
        <v>1.575789777279772E-3</v>
      </c>
      <c r="S19" s="32">
        <v>1.3987072419636513E-3</v>
      </c>
      <c r="T19" s="32">
        <v>1.2216247066475308E-3</v>
      </c>
      <c r="U19" s="32">
        <v>1.0445421713314096E-3</v>
      </c>
      <c r="V19" s="32">
        <v>8.6745963601528905E-4</v>
      </c>
      <c r="W19" s="32">
        <v>6.9037710069916824E-4</v>
      </c>
      <c r="X19" s="32">
        <v>5.1329456538304753E-4</v>
      </c>
      <c r="Y19" s="32">
        <v>3.3621203006692683E-4</v>
      </c>
      <c r="Z19" s="32">
        <v>1.591294947508149E-4</v>
      </c>
      <c r="AA19" s="32">
        <v>-1.7953040565305837E-5</v>
      </c>
      <c r="AB19" s="32">
        <v>-1.9503557588142662E-4</v>
      </c>
      <c r="AC19" s="32">
        <v>-3.7211811119754732E-4</v>
      </c>
      <c r="AD19" s="32">
        <v>-5.4920064651366803E-4</v>
      </c>
      <c r="AE19" s="32">
        <v>-7.2628318182978895E-4</v>
      </c>
      <c r="AF19" s="32">
        <v>-9.0336571714590965E-4</v>
      </c>
      <c r="AG19" s="32">
        <v>-1.0804482524620304E-3</v>
      </c>
      <c r="AH19" s="32">
        <v>-1.2575307877781511E-3</v>
      </c>
      <c r="AI19" s="32">
        <v>-1.434613323094272E-3</v>
      </c>
      <c r="AJ19" s="32">
        <v>-1.6116958584103925E-3</v>
      </c>
      <c r="AK19" s="32">
        <v>-1.7887783937265134E-3</v>
      </c>
      <c r="AL19" s="32">
        <v>-1.9658609290426343E-3</v>
      </c>
      <c r="AM19" s="32">
        <v>-2.1429434643587546E-3</v>
      </c>
      <c r="AN19" s="32">
        <v>-2.3200259996748757E-3</v>
      </c>
      <c r="AO19" s="32">
        <v>-2.497108534990996E-3</v>
      </c>
      <c r="AP19" s="32">
        <v>-2.6741910703071167E-3</v>
      </c>
      <c r="AR19">
        <v>3.2889215673853882E-2</v>
      </c>
      <c r="AS19">
        <v>-4.3470836314599441E-4</v>
      </c>
    </row>
    <row r="20" spans="11:45" x14ac:dyDescent="0.2">
      <c r="K20" s="31">
        <v>-9.9920072216264108E-16</v>
      </c>
      <c r="L20" s="32">
        <v>2.6427557214585289E-3</v>
      </c>
      <c r="M20" s="32">
        <v>2.4656731861424082E-3</v>
      </c>
      <c r="N20" s="32">
        <v>2.2885906508262875E-3</v>
      </c>
      <c r="O20" s="32">
        <v>2.1115081155101663E-3</v>
      </c>
      <c r="P20" s="32">
        <v>1.9344255801940454E-3</v>
      </c>
      <c r="Q20" s="32">
        <v>1.7573430448779249E-3</v>
      </c>
      <c r="R20" s="32">
        <v>1.580260509561804E-3</v>
      </c>
      <c r="S20" s="32">
        <v>1.4031779742456833E-3</v>
      </c>
      <c r="T20" s="32">
        <v>1.2260954389295626E-3</v>
      </c>
      <c r="U20" s="32">
        <v>1.0490129036134417E-3</v>
      </c>
      <c r="V20" s="32">
        <v>8.7193036829732106E-4</v>
      </c>
      <c r="W20" s="32">
        <v>6.9484783298120025E-4</v>
      </c>
      <c r="X20" s="32">
        <v>5.1776529766507943E-4</v>
      </c>
      <c r="Y20" s="32">
        <v>3.4068276234895873E-4</v>
      </c>
      <c r="Z20" s="32">
        <v>1.6360022703284686E-4</v>
      </c>
      <c r="AA20" s="32">
        <v>-1.3482308283273889E-5</v>
      </c>
      <c r="AB20" s="32">
        <v>-1.9056484359939466E-4</v>
      </c>
      <c r="AC20" s="32">
        <v>-3.6764737891551542E-4</v>
      </c>
      <c r="AD20" s="32">
        <v>-5.4472991423163612E-4</v>
      </c>
      <c r="AE20" s="32">
        <v>-7.2181244954775694E-4</v>
      </c>
      <c r="AF20" s="32">
        <v>-8.9889498486387764E-4</v>
      </c>
      <c r="AG20" s="32">
        <v>-1.0759775201799983E-3</v>
      </c>
      <c r="AH20" s="32">
        <v>-1.2530600554961191E-3</v>
      </c>
      <c r="AI20" s="32">
        <v>-1.43014259081224E-3</v>
      </c>
      <c r="AJ20" s="32">
        <v>-1.6072251261283605E-3</v>
      </c>
      <c r="AK20" s="32">
        <v>-1.7843076614444814E-3</v>
      </c>
      <c r="AL20" s="32">
        <v>-1.9613901967606021E-3</v>
      </c>
      <c r="AM20" s="32">
        <v>-2.1384727320767228E-3</v>
      </c>
      <c r="AN20" s="32">
        <v>-2.3155552673928435E-3</v>
      </c>
      <c r="AO20" s="32">
        <v>-2.4926378027089642E-3</v>
      </c>
      <c r="AP20" s="32">
        <v>-2.6697203380250849E-3</v>
      </c>
      <c r="AR20">
        <v>3.3388917635222705E-2</v>
      </c>
      <c r="AS20">
        <v>-6.1179089846211522E-4</v>
      </c>
    </row>
    <row r="21" spans="11:45" x14ac:dyDescent="0.2">
      <c r="K21" s="31">
        <v>1.9999999999999001E-2</v>
      </c>
      <c r="L21" s="32">
        <v>2.6472264537405602E-3</v>
      </c>
      <c r="M21" s="32">
        <v>2.47014391842444E-3</v>
      </c>
      <c r="N21" s="32">
        <v>2.2930613831083188E-3</v>
      </c>
      <c r="O21" s="32">
        <v>2.1159788477921981E-3</v>
      </c>
      <c r="P21" s="32">
        <v>1.9388963124760774E-3</v>
      </c>
      <c r="Q21" s="32">
        <v>1.7618137771599569E-3</v>
      </c>
      <c r="R21" s="32">
        <v>1.584731241843836E-3</v>
      </c>
      <c r="S21" s="32">
        <v>1.4076487065277151E-3</v>
      </c>
      <c r="T21" s="32">
        <v>1.2305661712115946E-3</v>
      </c>
      <c r="U21" s="32">
        <v>1.0534836358954737E-3</v>
      </c>
      <c r="V21" s="32">
        <v>8.7640110057935307E-4</v>
      </c>
      <c r="W21" s="32">
        <v>6.9931856526323215E-4</v>
      </c>
      <c r="X21" s="32">
        <v>5.2223602994711145E-4</v>
      </c>
      <c r="Y21" s="32">
        <v>3.4515349463099074E-4</v>
      </c>
      <c r="Z21" s="32">
        <v>1.6807095931487879E-4</v>
      </c>
      <c r="AA21" s="32">
        <v>-9.0115760012419328E-6</v>
      </c>
      <c r="AB21" s="32">
        <v>-1.860941113173627E-4</v>
      </c>
      <c r="AC21" s="32">
        <v>-3.6317664663348341E-4</v>
      </c>
      <c r="AD21" s="32">
        <v>-5.4025918194960411E-4</v>
      </c>
      <c r="AE21" s="32">
        <v>-7.1734171726572492E-4</v>
      </c>
      <c r="AF21" s="32">
        <v>-8.9442425258184574E-4</v>
      </c>
      <c r="AG21" s="32">
        <v>-1.0715067878979663E-3</v>
      </c>
      <c r="AH21" s="32">
        <v>-1.248589323214087E-3</v>
      </c>
      <c r="AI21" s="32">
        <v>-1.425671858530208E-3</v>
      </c>
      <c r="AJ21" s="32">
        <v>-1.6027543938463285E-3</v>
      </c>
      <c r="AK21" s="32">
        <v>-1.7798369291624496E-3</v>
      </c>
      <c r="AL21" s="32">
        <v>-1.9569194644785703E-3</v>
      </c>
      <c r="AM21" s="32">
        <v>-2.134001999794691E-3</v>
      </c>
      <c r="AN21" s="32">
        <v>-2.3110845351108121E-3</v>
      </c>
      <c r="AO21" s="32">
        <v>-2.4881670704269328E-3</v>
      </c>
      <c r="AP21" s="32">
        <v>-2.6652496057430531E-3</v>
      </c>
      <c r="AR21">
        <v>3.4188676034288913E-2</v>
      </c>
      <c r="AS21">
        <v>-7.8887343377823604E-4</v>
      </c>
    </row>
    <row r="22" spans="11:45" x14ac:dyDescent="0.2">
      <c r="K22" s="31">
        <v>3.9999999999999002E-2</v>
      </c>
      <c r="L22" s="32">
        <v>2.6516971860225925E-3</v>
      </c>
      <c r="M22" s="32">
        <v>2.4746146507064718E-3</v>
      </c>
      <c r="N22" s="32">
        <v>2.2975321153903511E-3</v>
      </c>
      <c r="O22" s="32">
        <v>2.1204495800742299E-3</v>
      </c>
      <c r="P22" s="32">
        <v>1.9433670447581094E-3</v>
      </c>
      <c r="Q22" s="32">
        <v>1.7662845094419889E-3</v>
      </c>
      <c r="R22" s="32">
        <v>1.5892019741258678E-3</v>
      </c>
      <c r="S22" s="32">
        <v>1.4121194388097471E-3</v>
      </c>
      <c r="T22" s="32">
        <v>1.2350369034936266E-3</v>
      </c>
      <c r="U22" s="32">
        <v>1.0579543681775057E-3</v>
      </c>
      <c r="V22" s="32">
        <v>8.8087183286138498E-4</v>
      </c>
      <c r="W22" s="32">
        <v>7.0378929754526416E-4</v>
      </c>
      <c r="X22" s="32">
        <v>5.2670676222914346E-4</v>
      </c>
      <c r="Y22" s="32">
        <v>3.4962422691302265E-4</v>
      </c>
      <c r="Z22" s="32">
        <v>1.7254169159691078E-4</v>
      </c>
      <c r="AA22" s="32">
        <v>-4.54084371920998E-6</v>
      </c>
      <c r="AB22" s="32">
        <v>-1.8162337903533074E-4</v>
      </c>
      <c r="AC22" s="32">
        <v>-3.587059143514515E-4</v>
      </c>
      <c r="AD22" s="32">
        <v>-5.357884496675721E-4</v>
      </c>
      <c r="AE22" s="32">
        <v>-7.1287098498369302E-4</v>
      </c>
      <c r="AF22" s="32">
        <v>-8.8995352029981373E-4</v>
      </c>
      <c r="AG22" s="32">
        <v>-1.0670360556159343E-3</v>
      </c>
      <c r="AH22" s="32">
        <v>-1.244118590932055E-3</v>
      </c>
      <c r="AI22" s="32">
        <v>-1.421201126248176E-3</v>
      </c>
      <c r="AJ22" s="32">
        <v>-1.5982836615642967E-3</v>
      </c>
      <c r="AK22" s="32">
        <v>-1.7753661968804176E-3</v>
      </c>
      <c r="AL22" s="32">
        <v>-1.9524487321965383E-3</v>
      </c>
      <c r="AM22" s="32">
        <v>-2.1295312675126592E-3</v>
      </c>
      <c r="AN22" s="32">
        <v>-2.3066138028287803E-3</v>
      </c>
      <c r="AO22" s="32">
        <v>-2.4836963381449006E-3</v>
      </c>
      <c r="AP22" s="32">
        <v>-2.6607788734610213E-3</v>
      </c>
      <c r="AR22">
        <v>3.5268084042359073E-2</v>
      </c>
      <c r="AS22">
        <v>-9.6595596909435674E-4</v>
      </c>
    </row>
    <row r="23" spans="11:45" x14ac:dyDescent="0.2">
      <c r="K23" s="31">
        <v>5.9999999999998999E-2</v>
      </c>
      <c r="L23" s="32">
        <v>2.6561679183046243E-3</v>
      </c>
      <c r="M23" s="32">
        <v>2.479085382988504E-3</v>
      </c>
      <c r="N23" s="32">
        <v>2.3020028476723828E-3</v>
      </c>
      <c r="O23" s="32">
        <v>2.1249203123562617E-3</v>
      </c>
      <c r="P23" s="32">
        <v>1.9478377770401414E-3</v>
      </c>
      <c r="Q23" s="32">
        <v>1.7707552417240207E-3</v>
      </c>
      <c r="R23" s="32">
        <v>1.5936727064078998E-3</v>
      </c>
      <c r="S23" s="32">
        <v>1.4165901710917791E-3</v>
      </c>
      <c r="T23" s="32">
        <v>1.2395076357756586E-3</v>
      </c>
      <c r="U23" s="32">
        <v>1.0624251004595377E-3</v>
      </c>
      <c r="V23" s="32">
        <v>8.8534256514341688E-4</v>
      </c>
      <c r="W23" s="32">
        <v>7.0826002982729607E-4</v>
      </c>
      <c r="X23" s="32">
        <v>5.3117749451117525E-4</v>
      </c>
      <c r="Y23" s="32">
        <v>3.540949591950546E-4</v>
      </c>
      <c r="Z23" s="32">
        <v>1.7701242387894273E-4</v>
      </c>
      <c r="AA23" s="32">
        <v>-7.0111437178028811E-8</v>
      </c>
      <c r="AB23" s="32">
        <v>-1.7715264675329878E-4</v>
      </c>
      <c r="AC23" s="32">
        <v>-3.5423518206941954E-4</v>
      </c>
      <c r="AD23" s="32">
        <v>-5.313177173855403E-4</v>
      </c>
      <c r="AE23" s="32">
        <v>-7.0840025270166112E-4</v>
      </c>
      <c r="AF23" s="32">
        <v>-8.8548278801778182E-4</v>
      </c>
      <c r="AG23" s="32">
        <v>-1.0625653233339023E-3</v>
      </c>
      <c r="AH23" s="32">
        <v>-1.239647858650023E-3</v>
      </c>
      <c r="AI23" s="32">
        <v>-1.4167303939661442E-3</v>
      </c>
      <c r="AJ23" s="32">
        <v>-1.5938129292822646E-3</v>
      </c>
      <c r="AK23" s="32">
        <v>-1.7708954645983856E-3</v>
      </c>
      <c r="AL23" s="32">
        <v>-1.9479779999145063E-3</v>
      </c>
      <c r="AM23" s="32">
        <v>-2.1250605352306274E-3</v>
      </c>
      <c r="AN23" s="32">
        <v>-2.3021430705467481E-3</v>
      </c>
      <c r="AO23" s="32">
        <v>-2.4792256058628688E-3</v>
      </c>
      <c r="AP23" s="32">
        <v>-2.6563081411789891E-3</v>
      </c>
      <c r="AR23">
        <v>3.6602409346595075E-2</v>
      </c>
      <c r="AS23">
        <v>-1.1430385044104772E-3</v>
      </c>
    </row>
    <row r="24" spans="11:45" x14ac:dyDescent="0.2">
      <c r="K24" s="31">
        <v>7.9999999999999002E-2</v>
      </c>
      <c r="L24" s="32">
        <v>2.6606386505866565E-3</v>
      </c>
      <c r="M24" s="32">
        <v>2.4835561152705358E-3</v>
      </c>
      <c r="N24" s="32">
        <v>2.3064735799544146E-3</v>
      </c>
      <c r="O24" s="32">
        <v>2.1293910446382939E-3</v>
      </c>
      <c r="P24" s="32">
        <v>1.9523085093221732E-3</v>
      </c>
      <c r="Q24" s="32">
        <v>1.7752259740060527E-3</v>
      </c>
      <c r="R24" s="32">
        <v>1.5981434386899318E-3</v>
      </c>
      <c r="S24" s="32">
        <v>1.4210609033738111E-3</v>
      </c>
      <c r="T24" s="32">
        <v>1.2439783680576906E-3</v>
      </c>
      <c r="U24" s="32">
        <v>1.0668958327415697E-3</v>
      </c>
      <c r="V24" s="32">
        <v>8.8981329742544889E-4</v>
      </c>
      <c r="W24" s="32">
        <v>7.1273076210932797E-4</v>
      </c>
      <c r="X24" s="32">
        <v>5.3564822679320727E-4</v>
      </c>
      <c r="Y24" s="32">
        <v>3.5856569147708656E-4</v>
      </c>
      <c r="Z24" s="32">
        <v>1.8148315616097466E-4</v>
      </c>
      <c r="AA24" s="32">
        <v>4.4006208448539257E-6</v>
      </c>
      <c r="AB24" s="32">
        <v>-1.7268191447126683E-4</v>
      </c>
      <c r="AC24" s="32">
        <v>-3.4976444978738759E-4</v>
      </c>
      <c r="AD24" s="32">
        <v>-5.2684698510350829E-4</v>
      </c>
      <c r="AE24" s="32">
        <v>-7.0392952041962911E-4</v>
      </c>
      <c r="AF24" s="32">
        <v>-8.8101205573574992E-4</v>
      </c>
      <c r="AG24" s="32">
        <v>-1.0580945910518703E-3</v>
      </c>
      <c r="AH24" s="32">
        <v>-1.2351771263679912E-3</v>
      </c>
      <c r="AI24" s="32">
        <v>-1.4122596616841121E-3</v>
      </c>
      <c r="AJ24" s="32">
        <v>-1.5893421970002326E-3</v>
      </c>
      <c r="AK24" s="32">
        <v>-1.7664247323163536E-3</v>
      </c>
      <c r="AL24" s="32">
        <v>-1.9435072676324743E-3</v>
      </c>
      <c r="AM24" s="32">
        <v>-2.1205898029485952E-3</v>
      </c>
      <c r="AN24" s="32">
        <v>-2.2976723382647163E-3</v>
      </c>
      <c r="AO24" s="32">
        <v>-2.4747548735808366E-3</v>
      </c>
      <c r="AP24" s="32">
        <v>-2.6518374088969573E-3</v>
      </c>
      <c r="AR24">
        <v>3.8164923985879812E-2</v>
      </c>
      <c r="AS24">
        <v>-1.3201210397265979E-3</v>
      </c>
    </row>
    <row r="25" spans="11:45" x14ac:dyDescent="0.2">
      <c r="K25" s="31">
        <v>9.9999999999999006E-2</v>
      </c>
      <c r="L25" s="32">
        <v>2.6651093828686883E-3</v>
      </c>
      <c r="M25" s="32">
        <v>2.4880268475525676E-3</v>
      </c>
      <c r="N25" s="32">
        <v>2.3109443122364469E-3</v>
      </c>
      <c r="O25" s="32">
        <v>2.1338617769203257E-3</v>
      </c>
      <c r="P25" s="32">
        <v>1.9567792416042055E-3</v>
      </c>
      <c r="Q25" s="32">
        <v>1.7796967062880848E-3</v>
      </c>
      <c r="R25" s="32">
        <v>1.6026141709719638E-3</v>
      </c>
      <c r="S25" s="32">
        <v>1.4255316356558429E-3</v>
      </c>
      <c r="T25" s="32">
        <v>1.2484491003397224E-3</v>
      </c>
      <c r="U25" s="32">
        <v>1.0713665650236013E-3</v>
      </c>
      <c r="V25" s="32">
        <v>8.942840297074808E-4</v>
      </c>
      <c r="W25" s="32">
        <v>7.1720149439135998E-4</v>
      </c>
      <c r="X25" s="32">
        <v>5.4011895907523928E-4</v>
      </c>
      <c r="Y25" s="32">
        <v>3.6303642375911852E-4</v>
      </c>
      <c r="Z25" s="32">
        <v>1.8595388844300662E-4</v>
      </c>
      <c r="AA25" s="32">
        <v>8.8713531268858786E-6</v>
      </c>
      <c r="AB25" s="32">
        <v>-1.682111821892349E-4</v>
      </c>
      <c r="AC25" s="32">
        <v>-3.4529371750535563E-4</v>
      </c>
      <c r="AD25" s="32">
        <v>-5.2237625282147628E-4</v>
      </c>
      <c r="AE25" s="32">
        <v>-6.994587881375972E-4</v>
      </c>
      <c r="AF25" s="32">
        <v>-8.7654132345371791E-4</v>
      </c>
      <c r="AG25" s="32">
        <v>-1.0536238587698385E-3</v>
      </c>
      <c r="AH25" s="32">
        <v>-1.2307063940859594E-3</v>
      </c>
      <c r="AI25" s="32">
        <v>-1.4077889294020803E-3</v>
      </c>
      <c r="AJ25" s="32">
        <v>-1.5848714647182008E-3</v>
      </c>
      <c r="AK25" s="32">
        <v>-1.7619540000343218E-3</v>
      </c>
      <c r="AL25" s="32">
        <v>-1.9390365353504422E-3</v>
      </c>
      <c r="AM25" s="32">
        <v>-2.1161190706665634E-3</v>
      </c>
      <c r="AN25" s="32">
        <v>-2.2932016059826841E-3</v>
      </c>
      <c r="AO25" s="32">
        <v>-2.4702841412988048E-3</v>
      </c>
      <c r="AP25" s="32">
        <v>-2.6473666766149255E-3</v>
      </c>
      <c r="AR25">
        <v>3.9928848100536582E-2</v>
      </c>
      <c r="AS25">
        <v>-1.4972035750427191E-3</v>
      </c>
    </row>
    <row r="26" spans="11:45" x14ac:dyDescent="0.2">
      <c r="K26" s="31">
        <v>0.119999999999999</v>
      </c>
      <c r="L26" s="32">
        <v>2.6695801151507201E-3</v>
      </c>
      <c r="M26" s="32">
        <v>2.4924975798345998E-3</v>
      </c>
      <c r="N26" s="32">
        <v>2.3154150445184787E-3</v>
      </c>
      <c r="O26" s="32">
        <v>2.138332509202358E-3</v>
      </c>
      <c r="P26" s="32">
        <v>1.9612499738862373E-3</v>
      </c>
      <c r="Q26" s="32">
        <v>1.7841674385701166E-3</v>
      </c>
      <c r="R26" s="32">
        <v>1.6070849032539956E-3</v>
      </c>
      <c r="S26" s="32">
        <v>1.4300023679378749E-3</v>
      </c>
      <c r="T26" s="32">
        <v>1.2529198326217542E-3</v>
      </c>
      <c r="U26" s="32">
        <v>1.0758372973056333E-3</v>
      </c>
      <c r="V26" s="32">
        <v>8.9875476198951281E-4</v>
      </c>
      <c r="W26" s="32">
        <v>7.21672226673392E-4</v>
      </c>
      <c r="X26" s="32">
        <v>5.4458969135727118E-4</v>
      </c>
      <c r="Y26" s="32">
        <v>3.6750715604115048E-4</v>
      </c>
      <c r="Z26" s="32">
        <v>1.9042462072503858E-4</v>
      </c>
      <c r="AA26" s="32">
        <v>1.3342085408917828E-5</v>
      </c>
      <c r="AB26" s="32">
        <v>-1.6374044990720294E-4</v>
      </c>
      <c r="AC26" s="32">
        <v>-3.4082298522332372E-4</v>
      </c>
      <c r="AD26" s="32">
        <v>-5.1790552053944438E-4</v>
      </c>
      <c r="AE26" s="32">
        <v>-6.9498805585556519E-4</v>
      </c>
      <c r="AF26" s="32">
        <v>-8.7207059117168589E-4</v>
      </c>
      <c r="AG26" s="32">
        <v>-1.0491531264878067E-3</v>
      </c>
      <c r="AH26" s="32">
        <v>-1.2262356618039274E-3</v>
      </c>
      <c r="AI26" s="32">
        <v>-1.4033181971200483E-3</v>
      </c>
      <c r="AJ26" s="32">
        <v>-1.5804007324361688E-3</v>
      </c>
      <c r="AK26" s="32">
        <v>-1.7574832677522897E-3</v>
      </c>
      <c r="AL26" s="32">
        <v>-1.9345658030684107E-3</v>
      </c>
      <c r="AM26" s="32">
        <v>-2.1116483383845312E-3</v>
      </c>
      <c r="AN26" s="32">
        <v>-2.2887308737006523E-3</v>
      </c>
      <c r="AO26" s="32">
        <v>-2.465813409016773E-3</v>
      </c>
      <c r="AP26" s="32">
        <v>-2.6428959443328933E-3</v>
      </c>
      <c r="AR26">
        <v>4.1868733362008095E-2</v>
      </c>
      <c r="AS26">
        <v>-1.6742861103588396E-3</v>
      </c>
    </row>
    <row r="27" spans="11:45" x14ac:dyDescent="0.2">
      <c r="K27" s="31">
        <v>0.13999999999999899</v>
      </c>
      <c r="L27" s="32">
        <v>2.6740508474327523E-3</v>
      </c>
      <c r="M27" s="32">
        <v>2.4969683121166316E-3</v>
      </c>
      <c r="N27" s="32">
        <v>2.3198857768005109E-3</v>
      </c>
      <c r="O27" s="32">
        <v>2.1428032414843898E-3</v>
      </c>
      <c r="P27" s="32">
        <v>1.9657207061682691E-3</v>
      </c>
      <c r="Q27" s="32">
        <v>1.7886381708521486E-3</v>
      </c>
      <c r="R27" s="32">
        <v>1.6115556355360276E-3</v>
      </c>
      <c r="S27" s="32">
        <v>1.4344731002199067E-3</v>
      </c>
      <c r="T27" s="32">
        <v>1.2573905649037862E-3</v>
      </c>
      <c r="U27" s="32">
        <v>1.0803080295876653E-3</v>
      </c>
      <c r="V27" s="32">
        <v>9.0322549427154482E-4</v>
      </c>
      <c r="W27" s="32">
        <v>7.261429589554239E-4</v>
      </c>
      <c r="X27" s="32">
        <v>5.4906042363930319E-4</v>
      </c>
      <c r="Y27" s="32">
        <v>3.7197788832318243E-4</v>
      </c>
      <c r="Z27" s="32">
        <v>1.9489535300707051E-4</v>
      </c>
      <c r="AA27" s="32">
        <v>1.7812817690949779E-5</v>
      </c>
      <c r="AB27" s="32">
        <v>-1.5926971762517098E-4</v>
      </c>
      <c r="AC27" s="32">
        <v>-3.3635225294129171E-4</v>
      </c>
      <c r="AD27" s="32">
        <v>-5.1343478825741236E-4</v>
      </c>
      <c r="AE27" s="32">
        <v>-6.9051732357353318E-4</v>
      </c>
      <c r="AF27" s="32">
        <v>-8.6759985888965399E-4</v>
      </c>
      <c r="AG27" s="32">
        <v>-1.0446823942057747E-3</v>
      </c>
      <c r="AH27" s="32">
        <v>-1.2217649295218954E-3</v>
      </c>
      <c r="AI27" s="32">
        <v>-1.3988474648380163E-3</v>
      </c>
      <c r="AJ27" s="32">
        <v>-1.5759300001541368E-3</v>
      </c>
      <c r="AK27" s="32">
        <v>-1.753012535470258E-3</v>
      </c>
      <c r="AL27" s="32">
        <v>-1.9300950707863787E-3</v>
      </c>
      <c r="AM27" s="32">
        <v>-2.1071776061024994E-3</v>
      </c>
      <c r="AN27" s="32">
        <v>-2.2842601414186205E-3</v>
      </c>
      <c r="AO27" s="32">
        <v>-2.4613426767347408E-3</v>
      </c>
      <c r="AP27" s="32">
        <v>-2.6384252120508615E-3</v>
      </c>
      <c r="AR27">
        <v>4.3961291961879388E-2</v>
      </c>
      <c r="AS27">
        <v>-1.8513686456749605E-3</v>
      </c>
    </row>
    <row r="28" spans="11:45" x14ac:dyDescent="0.2">
      <c r="K28" s="31">
        <v>0.159999999999999</v>
      </c>
      <c r="L28" s="32">
        <v>2.6785215797147841E-3</v>
      </c>
      <c r="M28" s="32">
        <v>2.5014390443986638E-3</v>
      </c>
      <c r="N28" s="32">
        <v>2.3243565090825427E-3</v>
      </c>
      <c r="O28" s="32">
        <v>2.1472739737664216E-3</v>
      </c>
      <c r="P28" s="32">
        <v>1.9701914384503013E-3</v>
      </c>
      <c r="Q28" s="32">
        <v>1.7931089031341806E-3</v>
      </c>
      <c r="R28" s="32">
        <v>1.6160263678180594E-3</v>
      </c>
      <c r="S28" s="32">
        <v>1.4389438325019387E-3</v>
      </c>
      <c r="T28" s="32">
        <v>1.2618612971858182E-3</v>
      </c>
      <c r="U28" s="32">
        <v>1.0847787618696973E-3</v>
      </c>
      <c r="V28" s="32">
        <v>9.0769622655357662E-4</v>
      </c>
      <c r="W28" s="32">
        <v>7.306136912374558E-4</v>
      </c>
      <c r="X28" s="32">
        <v>5.535311559213351E-4</v>
      </c>
      <c r="Y28" s="32">
        <v>3.7644862060521439E-4</v>
      </c>
      <c r="Z28" s="32">
        <v>1.9936608528910247E-4</v>
      </c>
      <c r="AA28" s="32">
        <v>2.2283549972981744E-5</v>
      </c>
      <c r="AB28" s="32">
        <v>-1.5479898534313902E-4</v>
      </c>
      <c r="AC28" s="32">
        <v>-3.3188152065925975E-4</v>
      </c>
      <c r="AD28" s="32">
        <v>-5.0896405597538046E-4</v>
      </c>
      <c r="AE28" s="32">
        <v>-6.8604659129150138E-4</v>
      </c>
      <c r="AF28" s="32">
        <v>-8.6312912660762209E-4</v>
      </c>
      <c r="AG28" s="32">
        <v>-1.0402116619237427E-3</v>
      </c>
      <c r="AH28" s="32">
        <v>-1.2172941972398634E-3</v>
      </c>
      <c r="AI28" s="32">
        <v>-1.3943767325559843E-3</v>
      </c>
      <c r="AJ28" s="32">
        <v>-1.571459267872105E-3</v>
      </c>
      <c r="AK28" s="32">
        <v>-1.7485418031882259E-3</v>
      </c>
      <c r="AL28" s="32">
        <v>-1.9256243385043466E-3</v>
      </c>
      <c r="AM28" s="32">
        <v>-2.1027068738204676E-3</v>
      </c>
      <c r="AN28" s="32">
        <v>-2.2797894091365883E-3</v>
      </c>
      <c r="AO28" s="32">
        <v>-2.456871944452709E-3</v>
      </c>
      <c r="AP28" s="32">
        <v>-2.6339544797688292E-3</v>
      </c>
      <c r="AR28">
        <v>4.6185776852746982E-2</v>
      </c>
      <c r="AS28">
        <v>-2.0284511809910816E-3</v>
      </c>
    </row>
    <row r="29" spans="11:45" x14ac:dyDescent="0.2">
      <c r="K29" s="31">
        <v>0.17999999999999899</v>
      </c>
      <c r="L29" s="32">
        <v>2.6829923119968163E-3</v>
      </c>
      <c r="M29" s="32">
        <v>2.5059097766806956E-3</v>
      </c>
      <c r="N29" s="32">
        <v>2.3288272413645745E-3</v>
      </c>
      <c r="O29" s="32">
        <v>2.1517447060484538E-3</v>
      </c>
      <c r="P29" s="32">
        <v>1.9746621707323331E-3</v>
      </c>
      <c r="Q29" s="32">
        <v>1.7975796354162124E-3</v>
      </c>
      <c r="R29" s="32">
        <v>1.6204971001000915E-3</v>
      </c>
      <c r="S29" s="32">
        <v>1.4434145647839707E-3</v>
      </c>
      <c r="T29" s="32">
        <v>1.2663320294678503E-3</v>
      </c>
      <c r="U29" s="32">
        <v>1.0892494941517293E-3</v>
      </c>
      <c r="V29" s="32">
        <v>9.1216695883560863E-4</v>
      </c>
      <c r="W29" s="32">
        <v>7.3508442351948782E-4</v>
      </c>
      <c r="X29" s="32">
        <v>5.58001888203367E-4</v>
      </c>
      <c r="Y29" s="32">
        <v>3.809193528872463E-4</v>
      </c>
      <c r="Z29" s="32">
        <v>2.0383681757113445E-4</v>
      </c>
      <c r="AA29" s="32">
        <v>2.6754282255013692E-5</v>
      </c>
      <c r="AB29" s="32">
        <v>-1.5032825306110709E-4</v>
      </c>
      <c r="AC29" s="32">
        <v>-3.2741078837722785E-4</v>
      </c>
      <c r="AD29" s="32">
        <v>-5.0449332369334856E-4</v>
      </c>
      <c r="AE29" s="32">
        <v>-6.8157585900946937E-4</v>
      </c>
      <c r="AF29" s="32">
        <v>-8.5865839432559008E-4</v>
      </c>
      <c r="AG29" s="32">
        <v>-1.0357409296417107E-3</v>
      </c>
      <c r="AH29" s="32">
        <v>-1.2128234649578314E-3</v>
      </c>
      <c r="AI29" s="32">
        <v>-1.3899060002739525E-3</v>
      </c>
      <c r="AJ29" s="32">
        <v>-1.566988535590073E-3</v>
      </c>
      <c r="AK29" s="32">
        <v>-1.7440710709061939E-3</v>
      </c>
      <c r="AL29" s="32">
        <v>-1.9211536062223146E-3</v>
      </c>
      <c r="AM29" s="32">
        <v>-2.0982361415384353E-3</v>
      </c>
      <c r="AN29" s="32">
        <v>-2.2753186768545565E-3</v>
      </c>
      <c r="AO29" s="32">
        <v>-2.4524012121706767E-3</v>
      </c>
      <c r="AP29" s="32">
        <v>-2.6294837474867975E-3</v>
      </c>
      <c r="AR29">
        <v>4.8524047759243481E-2</v>
      </c>
      <c r="AS29">
        <v>-2.2055337163072019E-3</v>
      </c>
    </row>
    <row r="30" spans="11:45" x14ac:dyDescent="0.2">
      <c r="K30" s="31">
        <v>0.19999999999999901</v>
      </c>
      <c r="L30" s="32">
        <v>2.6874630442788481E-3</v>
      </c>
      <c r="M30" s="32">
        <v>2.5103805089627274E-3</v>
      </c>
      <c r="N30" s="32">
        <v>2.3332979736466067E-3</v>
      </c>
      <c r="O30" s="32">
        <v>2.1562154383304856E-3</v>
      </c>
      <c r="P30" s="32">
        <v>1.9791329030143649E-3</v>
      </c>
      <c r="Q30" s="32">
        <v>1.8020503676982444E-3</v>
      </c>
      <c r="R30" s="32">
        <v>1.6249678323821235E-3</v>
      </c>
      <c r="S30" s="32">
        <v>1.4478852970660028E-3</v>
      </c>
      <c r="T30" s="32">
        <v>1.2708027617498823E-3</v>
      </c>
      <c r="U30" s="32">
        <v>1.0937202264337613E-3</v>
      </c>
      <c r="V30" s="32">
        <v>9.1663769111764064E-4</v>
      </c>
      <c r="W30" s="32">
        <v>7.3955515580151972E-4</v>
      </c>
      <c r="X30" s="32">
        <v>5.6247262048539901E-4</v>
      </c>
      <c r="Y30" s="32">
        <v>3.8539008516927831E-4</v>
      </c>
      <c r="Z30" s="32">
        <v>2.0830754985316639E-4</v>
      </c>
      <c r="AA30" s="32">
        <v>3.1225014537045646E-5</v>
      </c>
      <c r="AB30" s="32">
        <v>-1.4585752077907511E-4</v>
      </c>
      <c r="AC30" s="32">
        <v>-3.2294005609519584E-4</v>
      </c>
      <c r="AD30" s="32">
        <v>-5.0002259141131654E-4</v>
      </c>
      <c r="AE30" s="32">
        <v>-6.7710512672743736E-4</v>
      </c>
      <c r="AF30" s="32">
        <v>-8.5418766204355817E-4</v>
      </c>
      <c r="AG30" s="32">
        <v>-1.0312701973596787E-3</v>
      </c>
      <c r="AH30" s="32">
        <v>-1.2083527326757996E-3</v>
      </c>
      <c r="AI30" s="32">
        <v>-1.3854352679919205E-3</v>
      </c>
      <c r="AJ30" s="32">
        <v>-1.562517803308041E-3</v>
      </c>
      <c r="AK30" s="32">
        <v>-1.7396003386241619E-3</v>
      </c>
      <c r="AL30" s="32">
        <v>-1.9166828739402826E-3</v>
      </c>
      <c r="AM30" s="32">
        <v>-2.0937654092564035E-3</v>
      </c>
      <c r="AN30" s="32">
        <v>-2.2708479445725242E-3</v>
      </c>
      <c r="AO30" s="32">
        <v>-2.447930479888645E-3</v>
      </c>
      <c r="AP30" s="32">
        <v>-2.6250130152047652E-3</v>
      </c>
      <c r="AR30">
        <v>5.0960444202404795E-2</v>
      </c>
      <c r="AS30">
        <v>-2.382616251623323E-3</v>
      </c>
    </row>
    <row r="31" spans="11:45" x14ac:dyDescent="0.2">
      <c r="K31" s="31">
        <v>0.219999999999999</v>
      </c>
      <c r="L31" s="32">
        <v>2.6919337765608799E-3</v>
      </c>
      <c r="M31" s="32">
        <v>2.5148512412447597E-3</v>
      </c>
      <c r="N31" s="32">
        <v>2.3377687059286385E-3</v>
      </c>
      <c r="O31" s="32">
        <v>2.1606861706125178E-3</v>
      </c>
      <c r="P31" s="32">
        <v>1.9836036352963967E-3</v>
      </c>
      <c r="Q31" s="32">
        <v>1.8065210999802764E-3</v>
      </c>
      <c r="R31" s="32">
        <v>1.6294385646641555E-3</v>
      </c>
      <c r="S31" s="32">
        <v>1.4523560293480348E-3</v>
      </c>
      <c r="T31" s="32">
        <v>1.2752734940319143E-3</v>
      </c>
      <c r="U31" s="32">
        <v>1.0981909587157931E-3</v>
      </c>
      <c r="V31" s="32">
        <v>9.2110842339967255E-4</v>
      </c>
      <c r="W31" s="32">
        <v>7.4402588808355173E-4</v>
      </c>
      <c r="X31" s="32">
        <v>5.6694335276743103E-4</v>
      </c>
      <c r="Y31" s="32">
        <v>3.8986081745131021E-4</v>
      </c>
      <c r="Z31" s="32">
        <v>2.1277828213519834E-4</v>
      </c>
      <c r="AA31" s="32">
        <v>3.5695746819077598E-5</v>
      </c>
      <c r="AB31" s="32">
        <v>-1.4138678849704318E-4</v>
      </c>
      <c r="AC31" s="32">
        <v>-3.1846932381316393E-4</v>
      </c>
      <c r="AD31" s="32">
        <v>-4.9555185912928464E-4</v>
      </c>
      <c r="AE31" s="32">
        <v>-6.7263439444540545E-4</v>
      </c>
      <c r="AF31" s="32">
        <v>-8.4971692976152616E-4</v>
      </c>
      <c r="AG31" s="32">
        <v>-1.0267994650776469E-3</v>
      </c>
      <c r="AH31" s="32">
        <v>-1.2038820003937676E-3</v>
      </c>
      <c r="AI31" s="32">
        <v>-1.3809645357098885E-3</v>
      </c>
      <c r="AJ31" s="32">
        <v>-1.558047071026009E-3</v>
      </c>
      <c r="AK31" s="32">
        <v>-1.7351296063421299E-3</v>
      </c>
      <c r="AL31" s="32">
        <v>-1.9122121416582506E-3</v>
      </c>
      <c r="AM31" s="32">
        <v>-2.0892946769743713E-3</v>
      </c>
      <c r="AN31" s="32">
        <v>-2.2663772122904925E-3</v>
      </c>
      <c r="AO31" s="32">
        <v>-2.4434597476066127E-3</v>
      </c>
      <c r="AP31" s="32">
        <v>-2.6205422829227334E-3</v>
      </c>
      <c r="AR31">
        <v>5.3481557293958343E-2</v>
      </c>
      <c r="AS31">
        <v>-2.5596987869394433E-3</v>
      </c>
    </row>
    <row r="32" spans="11:45" x14ac:dyDescent="0.2">
      <c r="K32" s="31">
        <v>0.23999999999999899</v>
      </c>
      <c r="L32" s="32">
        <v>2.6964045088429122E-3</v>
      </c>
      <c r="M32" s="32">
        <v>2.5193219735267914E-3</v>
      </c>
      <c r="N32" s="32">
        <v>2.3422394382106707E-3</v>
      </c>
      <c r="O32" s="32">
        <v>2.1651569028945496E-3</v>
      </c>
      <c r="P32" s="32">
        <v>1.9880743675784289E-3</v>
      </c>
      <c r="Q32" s="32">
        <v>1.8109918322623084E-3</v>
      </c>
      <c r="R32" s="32">
        <v>1.6339092969461875E-3</v>
      </c>
      <c r="S32" s="32">
        <v>1.4568267616300668E-3</v>
      </c>
      <c r="T32" s="32">
        <v>1.2797442263139461E-3</v>
      </c>
      <c r="U32" s="32">
        <v>1.1026616909978252E-3</v>
      </c>
      <c r="V32" s="32">
        <v>9.2557915568170445E-4</v>
      </c>
      <c r="W32" s="32">
        <v>7.4849662036558364E-4</v>
      </c>
      <c r="X32" s="32">
        <v>5.7141408504946282E-4</v>
      </c>
      <c r="Y32" s="32">
        <v>3.9433154973334217E-4</v>
      </c>
      <c r="Z32" s="32">
        <v>2.172490144172303E-4</v>
      </c>
      <c r="AA32" s="32">
        <v>4.0166479101109542E-5</v>
      </c>
      <c r="AB32" s="32">
        <v>-1.3691605621501122E-4</v>
      </c>
      <c r="AC32" s="32">
        <v>-3.1399859153113198E-4</v>
      </c>
      <c r="AD32" s="32">
        <v>-4.9108112684725263E-4</v>
      </c>
      <c r="AE32" s="32">
        <v>-6.6816366216337355E-4</v>
      </c>
      <c r="AF32" s="32">
        <v>-8.4524619747949426E-4</v>
      </c>
      <c r="AG32" s="32">
        <v>-1.0223287327956149E-3</v>
      </c>
      <c r="AH32" s="32">
        <v>-1.1994112681117356E-3</v>
      </c>
      <c r="AI32" s="32">
        <v>-1.3764938034278565E-3</v>
      </c>
      <c r="AJ32" s="32">
        <v>-1.553576338743977E-3</v>
      </c>
      <c r="AK32" s="32">
        <v>-1.7306588740600979E-3</v>
      </c>
      <c r="AL32" s="32">
        <v>-1.9077414093762188E-3</v>
      </c>
      <c r="AM32" s="32">
        <v>-2.0848239446923395E-3</v>
      </c>
      <c r="AN32" s="32">
        <v>-2.2619064800084602E-3</v>
      </c>
      <c r="AO32" s="32">
        <v>-2.4389890153245809E-3</v>
      </c>
      <c r="AP32" s="32">
        <v>-2.6160715506407016E-3</v>
      </c>
      <c r="AR32">
        <v>5.6075961897973273E-2</v>
      </c>
      <c r="AS32">
        <v>-2.736781322255564E-3</v>
      </c>
    </row>
    <row r="33" spans="1:45" x14ac:dyDescent="0.2">
      <c r="K33" s="31">
        <v>0.25999999999999901</v>
      </c>
      <c r="L33" s="32">
        <v>2.7008752411249439E-3</v>
      </c>
      <c r="M33" s="32">
        <v>2.5237927058088237E-3</v>
      </c>
      <c r="N33" s="32">
        <v>2.3467101704927025E-3</v>
      </c>
      <c r="O33" s="32">
        <v>2.1696276351765818E-3</v>
      </c>
      <c r="P33" s="32">
        <v>1.9925450998604607E-3</v>
      </c>
      <c r="Q33" s="32">
        <v>1.8154625645443404E-3</v>
      </c>
      <c r="R33" s="32">
        <v>1.6383800292282195E-3</v>
      </c>
      <c r="S33" s="32">
        <v>1.4612974939120986E-3</v>
      </c>
      <c r="T33" s="32">
        <v>1.2842149585959781E-3</v>
      </c>
      <c r="U33" s="32">
        <v>1.1071324232798572E-3</v>
      </c>
      <c r="V33" s="32">
        <v>9.3004988796373646E-4</v>
      </c>
      <c r="W33" s="32">
        <v>7.5296735264761554E-4</v>
      </c>
      <c r="X33" s="32">
        <v>5.7588481733149483E-4</v>
      </c>
      <c r="Y33" s="32">
        <v>3.9880228201537418E-4</v>
      </c>
      <c r="Z33" s="32">
        <v>2.2171974669926226E-4</v>
      </c>
      <c r="AA33" s="32">
        <v>4.4637211383141507E-5</v>
      </c>
      <c r="AB33" s="32">
        <v>-1.3244532393297926E-4</v>
      </c>
      <c r="AC33" s="32">
        <v>-3.0952785924909996E-4</v>
      </c>
      <c r="AD33" s="32">
        <v>-4.8661039456522067E-4</v>
      </c>
      <c r="AE33" s="32">
        <v>-6.6369292988134154E-4</v>
      </c>
      <c r="AF33" s="32">
        <v>-8.4077546519746235E-4</v>
      </c>
      <c r="AG33" s="32">
        <v>-1.0178580005135828E-3</v>
      </c>
      <c r="AH33" s="32">
        <v>-1.1949405358297035E-3</v>
      </c>
      <c r="AI33" s="32">
        <v>-1.3720230711458245E-3</v>
      </c>
      <c r="AJ33" s="32">
        <v>-1.549105606461945E-3</v>
      </c>
      <c r="AK33" s="32">
        <v>-1.7261881417780661E-3</v>
      </c>
      <c r="AL33" s="32">
        <v>-1.9032706770941868E-3</v>
      </c>
      <c r="AM33" s="32">
        <v>-2.0803532124103073E-3</v>
      </c>
      <c r="AN33" s="32">
        <v>-2.2574357477264284E-3</v>
      </c>
      <c r="AO33" s="32">
        <v>-2.4345182830425491E-3</v>
      </c>
      <c r="AP33" s="32">
        <v>-2.6116008183586694E-3</v>
      </c>
      <c r="AR33">
        <v>6.0670993826926027E-2</v>
      </c>
      <c r="AS33">
        <v>2.5801654695100816E-3</v>
      </c>
    </row>
    <row r="34" spans="1:45" x14ac:dyDescent="0.2">
      <c r="K34" s="31">
        <v>0.27999999999999903</v>
      </c>
      <c r="L34" s="32">
        <v>2.7053459734069762E-3</v>
      </c>
      <c r="M34" s="32">
        <v>2.5282634380908555E-3</v>
      </c>
      <c r="N34" s="32">
        <v>2.3511809027747348E-3</v>
      </c>
      <c r="O34" s="32">
        <v>2.1740983674586136E-3</v>
      </c>
      <c r="P34" s="32">
        <v>1.9970158321424925E-3</v>
      </c>
      <c r="Q34" s="32">
        <v>1.8199332968263724E-3</v>
      </c>
      <c r="R34" s="32">
        <v>1.6428507615102513E-3</v>
      </c>
      <c r="S34" s="32">
        <v>1.4657682261941306E-3</v>
      </c>
      <c r="T34" s="32">
        <v>1.2886856908780101E-3</v>
      </c>
      <c r="U34" s="32">
        <v>1.1116031555618892E-3</v>
      </c>
      <c r="V34" s="32">
        <v>9.3452062024576836E-4</v>
      </c>
      <c r="W34" s="32">
        <v>7.5743808492964755E-4</v>
      </c>
      <c r="X34" s="32">
        <v>5.8035554961352685E-4</v>
      </c>
      <c r="Y34" s="32">
        <v>4.0327301429740609E-4</v>
      </c>
      <c r="Z34" s="32">
        <v>2.2619047898129422E-4</v>
      </c>
      <c r="AA34" s="32">
        <v>4.9107943665173465E-5</v>
      </c>
      <c r="AB34" s="32">
        <v>-1.279745916509473E-4</v>
      </c>
      <c r="AC34" s="32">
        <v>-3.0505712696706806E-4</v>
      </c>
      <c r="AD34" s="32">
        <v>-4.8213966228318877E-4</v>
      </c>
      <c r="AE34" s="32">
        <v>-6.5922219759930963E-4</v>
      </c>
      <c r="AF34" s="32">
        <v>-8.3630473291543034E-4</v>
      </c>
      <c r="AG34" s="32">
        <v>-1.0133872682315508E-3</v>
      </c>
      <c r="AH34" s="32">
        <v>-1.1904698035476715E-3</v>
      </c>
      <c r="AI34" s="32">
        <v>-1.3675523388637925E-3</v>
      </c>
      <c r="AJ34" s="32">
        <v>-1.5446348741799132E-3</v>
      </c>
      <c r="AK34" s="32">
        <v>-1.7217174094960341E-3</v>
      </c>
      <c r="AL34" s="32">
        <v>-1.8987999448121548E-3</v>
      </c>
      <c r="AM34" s="32">
        <v>-2.0758824801282755E-3</v>
      </c>
      <c r="AN34" s="32">
        <v>-2.2529650154443966E-3</v>
      </c>
      <c r="AO34" s="32">
        <v>-2.4300475507605169E-3</v>
      </c>
      <c r="AP34" s="32">
        <v>-2.6071300860766376E-3</v>
      </c>
      <c r="AR34">
        <v>5.7954319442485858E-2</v>
      </c>
      <c r="AS34">
        <v>2.4030829341939609E-3</v>
      </c>
    </row>
    <row r="35" spans="1:45" x14ac:dyDescent="0.2">
      <c r="K35" s="31">
        <v>0.29999999999999899</v>
      </c>
      <c r="L35" s="32">
        <v>2.709816705689008E-3</v>
      </c>
      <c r="M35" s="32">
        <v>2.5327341703728877E-3</v>
      </c>
      <c r="N35" s="32">
        <v>2.3556516350567666E-3</v>
      </c>
      <c r="O35" s="32">
        <v>2.1785690997406454E-3</v>
      </c>
      <c r="P35" s="32">
        <v>2.0014865644245247E-3</v>
      </c>
      <c r="Q35" s="32">
        <v>1.824404029108404E-3</v>
      </c>
      <c r="R35" s="32">
        <v>1.6473214937922831E-3</v>
      </c>
      <c r="S35" s="32">
        <v>1.4702389584761624E-3</v>
      </c>
      <c r="T35" s="32">
        <v>1.2931564231600419E-3</v>
      </c>
      <c r="U35" s="32">
        <v>1.116073887843921E-3</v>
      </c>
      <c r="V35" s="32">
        <v>9.3899135252780038E-4</v>
      </c>
      <c r="W35" s="32">
        <v>7.6190881721167956E-4</v>
      </c>
      <c r="X35" s="32">
        <v>5.8482628189555875E-4</v>
      </c>
      <c r="Y35" s="32">
        <v>4.0774374657943804E-4</v>
      </c>
      <c r="Z35" s="32">
        <v>2.3066121126332615E-4</v>
      </c>
      <c r="AA35" s="32">
        <v>5.3578675947205416E-5</v>
      </c>
      <c r="AB35" s="32">
        <v>-1.2350385936891534E-4</v>
      </c>
      <c r="AC35" s="32">
        <v>-3.005863946850361E-4</v>
      </c>
      <c r="AD35" s="32">
        <v>-4.7766893000115675E-4</v>
      </c>
      <c r="AE35" s="32">
        <v>-6.5475146531727762E-4</v>
      </c>
      <c r="AF35" s="32">
        <v>-8.3183400063339833E-4</v>
      </c>
      <c r="AG35" s="32">
        <v>-1.008916535949519E-3</v>
      </c>
      <c r="AH35" s="32">
        <v>-1.1859990712656397E-3</v>
      </c>
      <c r="AI35" s="32">
        <v>-1.3630816065817609E-3</v>
      </c>
      <c r="AJ35" s="32">
        <v>-1.5401641418978814E-3</v>
      </c>
      <c r="AK35" s="32">
        <v>-1.7172466772140023E-3</v>
      </c>
      <c r="AL35" s="32">
        <v>-1.894329212530123E-3</v>
      </c>
      <c r="AM35" s="32">
        <v>-2.0714117478462437E-3</v>
      </c>
      <c r="AN35" s="32">
        <v>-2.2484942831623644E-3</v>
      </c>
      <c r="AO35" s="32">
        <v>-2.4255768184784851E-3</v>
      </c>
      <c r="AP35" s="32">
        <v>-2.6026593537946054E-3</v>
      </c>
      <c r="AR35">
        <v>5.5293428425554875E-2</v>
      </c>
      <c r="AS35">
        <v>2.2260003988778402E-3</v>
      </c>
    </row>
    <row r="36" spans="1:45" x14ac:dyDescent="0.2">
      <c r="AR36">
        <v>5.2696771694077146E-2</v>
      </c>
      <c r="AS36">
        <v>2.048917863561719E-3</v>
      </c>
    </row>
    <row r="37" spans="1:45" x14ac:dyDescent="0.2">
      <c r="AR37">
        <v>5.0174323132643125E-2</v>
      </c>
      <c r="AS37">
        <v>1.8718353282455981E-3</v>
      </c>
    </row>
    <row r="38" spans="1:45" x14ac:dyDescent="0.2">
      <c r="K38" t="s">
        <v>1999</v>
      </c>
      <c r="AR38">
        <v>4.7737847580044381E-2</v>
      </c>
      <c r="AS38">
        <v>1.6947527929294776E-3</v>
      </c>
    </row>
    <row r="39" spans="1:45" x14ac:dyDescent="0.2">
      <c r="AR39">
        <v>4.5401188489374134E-2</v>
      </c>
      <c r="AS39">
        <v>1.5176702576133567E-3</v>
      </c>
    </row>
    <row r="40" spans="1:45" x14ac:dyDescent="0.2">
      <c r="K40">
        <f>$G$3</f>
        <v>2.5592104660592134E-2</v>
      </c>
      <c r="L40">
        <v>-0.3</v>
      </c>
      <c r="M40">
        <v>-0.28000000000000003</v>
      </c>
      <c r="N40">
        <v>-0.26</v>
      </c>
      <c r="O40">
        <v>-0.24</v>
      </c>
      <c r="P40">
        <v>-0.22</v>
      </c>
      <c r="Q40">
        <v>-0.2</v>
      </c>
      <c r="R40">
        <v>-0.18</v>
      </c>
      <c r="S40">
        <v>-0.16</v>
      </c>
      <c r="T40">
        <v>-0.14000000000000001</v>
      </c>
      <c r="U40">
        <v>-0.12</v>
      </c>
      <c r="V40">
        <v>-0.1</v>
      </c>
      <c r="W40">
        <v>-0.08</v>
      </c>
      <c r="X40">
        <v>-0.06</v>
      </c>
      <c r="Y40">
        <v>-0.04</v>
      </c>
      <c r="Z40">
        <v>-2.0000000000001E-2</v>
      </c>
      <c r="AA40">
        <v>-9.9920072216264108E-16</v>
      </c>
      <c r="AB40">
        <v>1.9999999999999001E-2</v>
      </c>
      <c r="AC40">
        <v>3.9999999999999002E-2</v>
      </c>
      <c r="AD40">
        <v>5.9999999999998999E-2</v>
      </c>
      <c r="AE40">
        <v>7.9999999999999002E-2</v>
      </c>
      <c r="AF40">
        <v>9.9999999999999006E-2</v>
      </c>
      <c r="AG40">
        <v>0.119999999999999</v>
      </c>
      <c r="AH40">
        <v>0.13999999999999899</v>
      </c>
      <c r="AI40">
        <v>0.159999999999999</v>
      </c>
      <c r="AJ40">
        <v>0.17999999999999899</v>
      </c>
      <c r="AK40">
        <v>0.19999999999999901</v>
      </c>
      <c r="AL40">
        <v>0.219999999999999</v>
      </c>
      <c r="AM40">
        <v>0.23999999999999899</v>
      </c>
      <c r="AN40">
        <v>0.25999999999999901</v>
      </c>
      <c r="AO40">
        <v>0.27999999999999903</v>
      </c>
      <c r="AP40">
        <v>0.29999999999999899</v>
      </c>
      <c r="AR40">
        <v>4.3180553213631637E-2</v>
      </c>
      <c r="AS40">
        <v>1.340587722297236E-3</v>
      </c>
    </row>
    <row r="41" spans="1:45" x14ac:dyDescent="0.2">
      <c r="K41">
        <v>-0.3</v>
      </c>
      <c r="L41">
        <f t="dataTable" ref="L41:AP71" dt2D="1" dtr="1" r1="B3" r2="C3" ca="1"/>
        <v>6.0995218871077068E-2</v>
      </c>
      <c r="M41">
        <v>5.8290536494169314E-2</v>
      </c>
      <c r="N41">
        <v>5.5642456805402099E-2</v>
      </c>
      <c r="O41">
        <v>5.3059455225430457E-2</v>
      </c>
      <c r="P41">
        <v>5.0551508515704509E-2</v>
      </c>
      <c r="Q41">
        <v>4.8130350845622331E-2</v>
      </c>
      <c r="R41">
        <v>4.5809745325067201E-2</v>
      </c>
      <c r="S41">
        <v>4.3605748427103061E-2</v>
      </c>
      <c r="T41">
        <v>4.1536926462408745E-2</v>
      </c>
      <c r="U41">
        <v>3.962445783748679E-2</v>
      </c>
      <c r="V41">
        <v>3.7892024131754305E-2</v>
      </c>
      <c r="W41">
        <v>3.6365364862786673E-2</v>
      </c>
      <c r="X41">
        <v>3.5071362467420826E-2</v>
      </c>
      <c r="Y41">
        <v>3.4036562751757038E-2</v>
      </c>
      <c r="Z41">
        <v>3.3285149503988157E-2</v>
      </c>
      <c r="AA41">
        <v>3.283658304341143E-2</v>
      </c>
      <c r="AB41">
        <v>3.2703327496545857E-2</v>
      </c>
      <c r="AC41">
        <v>3.2889215673853882E-2</v>
      </c>
      <c r="AD41">
        <v>3.3388917635222705E-2</v>
      </c>
      <c r="AE41">
        <v>3.4188676034288913E-2</v>
      </c>
      <c r="AF41">
        <v>3.5268084042359073E-2</v>
      </c>
      <c r="AG41">
        <v>3.6602409346595075E-2</v>
      </c>
      <c r="AH41">
        <v>3.8164923985879812E-2</v>
      </c>
      <c r="AI41">
        <v>3.9928848100536582E-2</v>
      </c>
      <c r="AJ41">
        <v>4.1868733362008095E-2</v>
      </c>
      <c r="AK41">
        <v>4.3961291961879388E-2</v>
      </c>
      <c r="AL41">
        <v>4.6185776852746982E-2</v>
      </c>
      <c r="AM41">
        <v>4.8524047759243481E-2</v>
      </c>
      <c r="AN41">
        <v>5.0960444202404795E-2</v>
      </c>
      <c r="AO41">
        <v>5.3481557293958343E-2</v>
      </c>
      <c r="AP41">
        <v>5.6075961897973273E-2</v>
      </c>
      <c r="AR41">
        <v>4.1094754778904993E-2</v>
      </c>
      <c r="AS41">
        <v>1.1635051869811155E-3</v>
      </c>
    </row>
    <row r="42" spans="1:45" x14ac:dyDescent="0.2">
      <c r="K42">
        <v>-0.28000000000000003</v>
      </c>
      <c r="L42">
        <v>6.0670993826926027E-2</v>
      </c>
      <c r="M42">
        <v>5.7954319442485858E-2</v>
      </c>
      <c r="N42">
        <v>5.5293428425554875E-2</v>
      </c>
      <c r="O42">
        <v>5.2696771694077146E-2</v>
      </c>
      <c r="P42">
        <v>5.0174323132643125E-2</v>
      </c>
      <c r="Q42">
        <v>4.7737847580044381E-2</v>
      </c>
      <c r="R42">
        <v>4.5401188489374134E-2</v>
      </c>
      <c r="S42">
        <v>4.3180553213631637E-2</v>
      </c>
      <c r="T42">
        <v>4.1094754778904993E-2</v>
      </c>
      <c r="U42">
        <v>3.9165341818460639E-2</v>
      </c>
      <c r="V42">
        <v>3.7416514590363104E-2</v>
      </c>
      <c r="W42">
        <v>3.5874692519104801E-2</v>
      </c>
      <c r="X42">
        <v>3.4567585936903934E-2</v>
      </c>
      <c r="Y42">
        <v>3.3522661985373861E-2</v>
      </c>
      <c r="Z42">
        <v>3.2765014429746372E-2</v>
      </c>
      <c r="AA42">
        <v>3.2314855863717087E-2</v>
      </c>
      <c r="AB42">
        <v>3.2185091009962967E-2</v>
      </c>
      <c r="AC42">
        <v>3.237957214142665E-2</v>
      </c>
      <c r="AD42">
        <v>3.2892548331188522E-2</v>
      </c>
      <c r="AE42">
        <v>3.3709482557475703E-2</v>
      </c>
      <c r="AF42">
        <v>3.4808980562225762E-2</v>
      </c>
      <c r="AG42">
        <v>3.6165279982125521E-2</v>
      </c>
      <c r="AH42">
        <v>3.7750712039710095E-2</v>
      </c>
      <c r="AI42">
        <v>3.953772221233999E-2</v>
      </c>
      <c r="AJ42">
        <v>4.1500278684494143E-2</v>
      </c>
      <c r="AK42">
        <v>4.3614690403081642E-2</v>
      </c>
      <c r="AL42">
        <v>4.5859957936506109E-2</v>
      </c>
      <c r="AM42">
        <v>4.8217804801079692E-2</v>
      </c>
      <c r="AN42">
        <v>5.0672518120253349E-2</v>
      </c>
      <c r="AO42">
        <v>5.321069366560871E-2</v>
      </c>
      <c r="AP42">
        <v>5.5820947528849439E-2</v>
      </c>
      <c r="AR42">
        <v>3.9165341818460639E-2</v>
      </c>
      <c r="AS42">
        <v>9.8642265166499457E-4</v>
      </c>
    </row>
    <row r="43" spans="1:45" x14ac:dyDescent="0.2">
      <c r="K43">
        <v>-0.26</v>
      </c>
      <c r="L43">
        <v>6.035185884636686E-2</v>
      </c>
      <c r="M43">
        <v>5.7623296042086145E-2</v>
      </c>
      <c r="N43">
        <v>5.4949686643432964E-2</v>
      </c>
      <c r="O43">
        <v>5.233945273485878E-2</v>
      </c>
      <c r="P43">
        <v>4.9802560153801564E-2</v>
      </c>
      <c r="Q43">
        <v>4.7350798494608271E-2</v>
      </c>
      <c r="R43">
        <v>4.4998085217000466E-2</v>
      </c>
      <c r="S43">
        <v>4.2760772481695665E-2</v>
      </c>
      <c r="T43">
        <v>4.0657915443142352E-2</v>
      </c>
      <c r="U43">
        <v>3.8711431748871677E-2</v>
      </c>
      <c r="V43">
        <v>3.6946045022828271E-2</v>
      </c>
      <c r="W43">
        <v>3.5388867918112653E-2</v>
      </c>
      <c r="X43">
        <v>3.4068462500351532E-2</v>
      </c>
      <c r="Y43">
        <v>3.301325092543235E-2</v>
      </c>
      <c r="Z43">
        <v>3.2249275512927868E-2</v>
      </c>
      <c r="AA43">
        <v>3.1797535131946338E-2</v>
      </c>
      <c r="AB43">
        <v>3.1671393160728818E-2</v>
      </c>
      <c r="AC43">
        <v>3.1874715432941902E-2</v>
      </c>
      <c r="AD43">
        <v>3.2401300252243817E-2</v>
      </c>
      <c r="AE43">
        <v>3.3235785940106059E-2</v>
      </c>
      <c r="AF43">
        <v>3.4355743493519601E-2</v>
      </c>
      <c r="AG43">
        <v>3.5734341883459149E-2</v>
      </c>
      <c r="AH43">
        <v>3.7342947173607449E-2</v>
      </c>
      <c r="AI43">
        <v>3.9153220203365105E-2</v>
      </c>
      <c r="AJ43">
        <v>4.1138546837376548E-2</v>
      </c>
      <c r="AK43">
        <v>4.3274840894038151E-2</v>
      </c>
      <c r="AL43">
        <v>4.5540861957511024E-2</v>
      </c>
      <c r="AM43">
        <v>4.7918209442520905E-2</v>
      </c>
      <c r="AN43">
        <v>5.0391129372509509E-2</v>
      </c>
      <c r="AO43">
        <v>5.2946231949140138E-2</v>
      </c>
      <c r="AP43">
        <v>5.5572182525997396E-2</v>
      </c>
      <c r="AR43">
        <v>3.7416514590363104E-2</v>
      </c>
      <c r="AS43">
        <v>8.0934011634887398E-4</v>
      </c>
    </row>
    <row r="44" spans="1:45" x14ac:dyDescent="0.2">
      <c r="K44">
        <v>-0.24</v>
      </c>
      <c r="L44">
        <v>6.0037895099056229E-2</v>
      </c>
      <c r="M44">
        <v>5.7297556308403767E-2</v>
      </c>
      <c r="N44">
        <v>5.4611331285911592E-2</v>
      </c>
      <c r="O44">
        <v>5.1987608962520464E-2</v>
      </c>
      <c r="P44">
        <v>4.9436341909325728E-2</v>
      </c>
      <c r="Q44">
        <v>4.6969338424412997E-2</v>
      </c>
      <c r="R44">
        <v>4.4600583377280942E-2</v>
      </c>
      <c r="S44">
        <v>4.2346567252564929E-2</v>
      </c>
      <c r="T44">
        <v>4.0226582174896323E-2</v>
      </c>
      <c r="U44">
        <v>3.8262912902533107E-2</v>
      </c>
      <c r="V44">
        <v>3.6480810421582577E-2</v>
      </c>
      <c r="W44">
        <v>3.4908093462111732E-2</v>
      </c>
      <c r="X44">
        <v>3.3574199680991262E-2</v>
      </c>
      <c r="Y44">
        <v>3.2508540634640697E-2</v>
      </c>
      <c r="Z44">
        <v>3.1738147064448566E-2</v>
      </c>
      <c r="AA44">
        <v>3.1284839441661008E-2</v>
      </c>
      <c r="AB44">
        <v>3.1162458401286588E-2</v>
      </c>
      <c r="AC44">
        <v>3.1374876625236185E-2</v>
      </c>
      <c r="AD44">
        <v>3.1915409879886128E-2</v>
      </c>
      <c r="AE44">
        <v>3.2767824573336261E-2</v>
      </c>
      <c r="AF44">
        <v>3.3908608076006493E-2</v>
      </c>
      <c r="AG44">
        <v>3.5309821734907577E-2</v>
      </c>
      <c r="AH44">
        <v>3.6941842877219279E-2</v>
      </c>
      <c r="AI44">
        <v>3.8775539123200184E-2</v>
      </c>
      <c r="AJ44">
        <v>4.0783716705812434E-2</v>
      </c>
      <c r="AK44">
        <v>4.294190374564881E-2</v>
      </c>
      <c r="AL44">
        <v>4.5228631210513508E-2</v>
      </c>
      <c r="AM44">
        <v>4.7625387137199965E-2</v>
      </c>
      <c r="AN44">
        <v>5.0116388074911908E-2</v>
      </c>
      <c r="AO44">
        <v>5.268826854526195E-2</v>
      </c>
      <c r="AP44">
        <v>5.5329751181760908E-2</v>
      </c>
      <c r="AR44">
        <v>3.5874692519104801E-2</v>
      </c>
      <c r="AS44">
        <v>6.3225758103275316E-4</v>
      </c>
    </row>
    <row r="45" spans="1:45" x14ac:dyDescent="0.2">
      <c r="A45" s="33" t="s">
        <v>2008</v>
      </c>
      <c r="B45" s="33" t="s">
        <v>2000</v>
      </c>
      <c r="C45" s="33" t="s">
        <v>2001</v>
      </c>
      <c r="K45">
        <v>-0.22</v>
      </c>
      <c r="L45">
        <v>5.9729184132108863E-2</v>
      </c>
      <c r="M45">
        <v>5.6977190861994029E-2</v>
      </c>
      <c r="N45">
        <v>5.4278463085060652E-2</v>
      </c>
      <c r="O45">
        <v>5.1641352288102932E-2</v>
      </c>
      <c r="P45">
        <v>4.9075792528772089E-2</v>
      </c>
      <c r="Q45">
        <v>4.6593604640826805E-2</v>
      </c>
      <c r="R45">
        <v>4.4208834065599792E-2</v>
      </c>
      <c r="S45">
        <v>4.1938102727344051E-2</v>
      </c>
      <c r="T45">
        <v>3.9800933986707594E-2</v>
      </c>
      <c r="U45">
        <v>3.7819977088500642E-2</v>
      </c>
      <c r="V45">
        <v>3.6021013626085507E-2</v>
      </c>
      <c r="W45">
        <v>3.443258069390135E-2</v>
      </c>
      <c r="X45">
        <v>3.3085015320366472E-2</v>
      </c>
      <c r="Y45">
        <v>3.2008753477310026E-2</v>
      </c>
      <c r="Z45">
        <v>3.1231855444545664E-2</v>
      </c>
      <c r="AA45">
        <v>3.0776999931153948E-2</v>
      </c>
      <c r="AB45">
        <v>3.0658523935945932E-2</v>
      </c>
      <c r="AC45">
        <v>3.0880299383509134E-2</v>
      </c>
      <c r="AD45">
        <v>3.1435125656100148E-2</v>
      </c>
      <c r="AE45">
        <v>3.2305847689387802E-2</v>
      </c>
      <c r="AF45">
        <v>3.346781886769E-2</v>
      </c>
      <c r="AG45">
        <v>3.4891953793196449E-2</v>
      </c>
      <c r="AH45">
        <v>3.6547618447281507E-2</v>
      </c>
      <c r="AI45">
        <v>3.840488020740402E-2</v>
      </c>
      <c r="AJ45">
        <v>4.0435969980173597E-2</v>
      </c>
      <c r="AK45">
        <v>4.2616040966347565E-2</v>
      </c>
      <c r="AL45">
        <v>4.4923408841814234E-2</v>
      </c>
      <c r="AM45">
        <v>4.7339463571185916E-2</v>
      </c>
      <c r="AN45">
        <v>4.9848404140573552E-2</v>
      </c>
      <c r="AO45">
        <v>5.2436899359437031E-2</v>
      </c>
      <c r="AP45">
        <v>5.5093737107015817E-2</v>
      </c>
      <c r="AR45">
        <v>3.4567585936903934E-2</v>
      </c>
      <c r="AS45">
        <v>4.5517504571663235E-4</v>
      </c>
    </row>
    <row r="46" spans="1:45" x14ac:dyDescent="0.2">
      <c r="A46" s="33" t="s">
        <v>2007</v>
      </c>
      <c r="B46" s="34">
        <v>0.03</v>
      </c>
      <c r="C46" s="34">
        <v>-5.8E-4</v>
      </c>
      <c r="K46">
        <v>-0.2</v>
      </c>
      <c r="L46">
        <v>5.9425807808544319E-2</v>
      </c>
      <c r="M46">
        <v>5.6662290860695769E-2</v>
      </c>
      <c r="N46">
        <v>5.3951183605010875E-2</v>
      </c>
      <c r="O46">
        <v>5.130079584272125E-2</v>
      </c>
      <c r="P46">
        <v>4.8721037865864528E-2</v>
      </c>
      <c r="Q46">
        <v>4.6223736783961002E-2</v>
      </c>
      <c r="R46">
        <v>4.3822991553912422E-2</v>
      </c>
      <c r="S46">
        <v>4.1535548270260216E-2</v>
      </c>
      <c r="T46">
        <v>3.9381155219259625E-2</v>
      </c>
      <c r="U46">
        <v>3.7382822761412603E-2</v>
      </c>
      <c r="V46">
        <v>3.5566865531480599E-2</v>
      </c>
      <c r="W46">
        <v>3.3962550622312265E-2</v>
      </c>
      <c r="X46">
        <v>3.2601138028100954E-2</v>
      </c>
      <c r="Y46">
        <v>3.1514123684420019E-2</v>
      </c>
      <c r="Z46">
        <v>3.0730639716446247E-2</v>
      </c>
      <c r="AA46">
        <v>3.02742609832608E-2</v>
      </c>
      <c r="AB46">
        <v>3.0159840412353263E-2</v>
      </c>
      <c r="AC46">
        <v>3.0391240583926692E-2</v>
      </c>
      <c r="AD46">
        <v>3.0960708481510474E-2</v>
      </c>
      <c r="AE46">
        <v>3.1850115698997115E-2</v>
      </c>
      <c r="AF46">
        <v>3.303362991433724E-2</v>
      </c>
      <c r="AG46">
        <v>3.448097990937548E-2</v>
      </c>
      <c r="AH46">
        <v>3.616049889893088E-2</v>
      </c>
      <c r="AI46">
        <v>3.8041448719046876E-2</v>
      </c>
      <c r="AJ46">
        <v>4.009549096324462E-2</v>
      </c>
      <c r="AK46">
        <v>4.2297416061017896E-2</v>
      </c>
      <c r="AL46">
        <v>4.4625338656525008E-2</v>
      </c>
      <c r="AM46">
        <v>4.7060564487644015E-2</v>
      </c>
      <c r="AN46">
        <v>4.958728712580799E-2</v>
      </c>
      <c r="AO46">
        <v>5.2192219669356957E-2</v>
      </c>
      <c r="AP46">
        <v>5.486422311895945E-2</v>
      </c>
      <c r="AR46">
        <v>3.3522661985373861E-2</v>
      </c>
      <c r="AS46">
        <v>2.7809251040051164E-4</v>
      </c>
    </row>
    <row r="47" spans="1:45" x14ac:dyDescent="0.2">
      <c r="A47" s="33" t="s">
        <v>2005</v>
      </c>
      <c r="B47" s="34">
        <v>0.04</v>
      </c>
      <c r="C47" s="34">
        <v>-1.8990000000000001E-3</v>
      </c>
      <c r="K47">
        <v>-0.18</v>
      </c>
      <c r="L47">
        <v>5.9127848242239656E-2</v>
      </c>
      <c r="M47">
        <v>5.6352947927226255E-2</v>
      </c>
      <c r="N47">
        <v>5.3629595162890155E-2</v>
      </c>
      <c r="O47">
        <v>5.0966053893721983E-2</v>
      </c>
      <c r="P47">
        <v>4.8372205413600093E-2</v>
      </c>
      <c r="Q47">
        <v>4.5859876783183116E-2</v>
      </c>
      <c r="R47">
        <v>4.344321322689447E-2</v>
      </c>
      <c r="S47">
        <v>4.1139077375429378E-2</v>
      </c>
      <c r="T47">
        <v>3.8967435558953309E-2</v>
      </c>
      <c r="U47">
        <v>3.695165511443646E-2</v>
      </c>
      <c r="V47">
        <v>3.5118585282821448E-2</v>
      </c>
      <c r="W47">
        <v>3.3498234039316378E-2</v>
      </c>
      <c r="X47">
        <v>3.2122807631872578E-2</v>
      </c>
      <c r="Y47">
        <v>3.1024897928457949E-2</v>
      </c>
      <c r="Z47">
        <v>3.023475231755083E-2</v>
      </c>
      <c r="AA47">
        <v>2.9776880945651778E-2</v>
      </c>
      <c r="AB47">
        <v>2.9666672629650601E-2</v>
      </c>
      <c r="AC47">
        <v>2.9907970942437169E-2</v>
      </c>
      <c r="AD47">
        <v>3.0492432205187211E-2</v>
      </c>
      <c r="AE47">
        <v>3.140090050615868E-2</v>
      </c>
      <c r="AF47">
        <v>3.2606304886062767E-2</v>
      </c>
      <c r="AG47">
        <v>3.4077149513472377E-2</v>
      </c>
      <c r="AH47">
        <v>3.5780714840814555E-2</v>
      </c>
      <c r="AI47">
        <v>3.7685453758596159E-2</v>
      </c>
      <c r="AJ47">
        <v>3.9762466351804152E-2</v>
      </c>
      <c r="AK47">
        <v>4.198619381035737E-2</v>
      </c>
      <c r="AL47">
        <v>4.4334564911577654E-2</v>
      </c>
      <c r="AM47">
        <v>4.6788815501488799E-2</v>
      </c>
      <c r="AN47">
        <v>4.9333146069162163E-2</v>
      </c>
      <c r="AO47">
        <v>5.1954323987957823E-2</v>
      </c>
      <c r="AP47">
        <v>5.4641291126084804E-2</v>
      </c>
      <c r="AR47">
        <v>3.2765014429746372E-2</v>
      </c>
      <c r="AS47">
        <v>1.0100997508439975E-4</v>
      </c>
    </row>
    <row r="48" spans="1:45" x14ac:dyDescent="0.2">
      <c r="A48" s="33" t="s">
        <v>2002</v>
      </c>
      <c r="B48" s="34">
        <v>0.05</v>
      </c>
      <c r="C48" s="34">
        <v>-2.4880000000000002E-3</v>
      </c>
      <c r="K48">
        <v>-0.16</v>
      </c>
      <c r="L48">
        <v>5.8835387729369082E-2</v>
      </c>
      <c r="M48">
        <v>5.6049254072144936E-2</v>
      </c>
      <c r="N48">
        <v>5.3313800743690964E-2</v>
      </c>
      <c r="O48">
        <v>5.0637241752958626E-2</v>
      </c>
      <c r="P48">
        <v>4.8029424209255683E-2</v>
      </c>
      <c r="Q48">
        <v>4.5502168764940884E-2</v>
      </c>
      <c r="R48">
        <v>4.3069659502591298E-2</v>
      </c>
      <c r="S48">
        <v>4.0748867615439451E-2</v>
      </c>
      <c r="T48">
        <v>3.8559970035355752E-2</v>
      </c>
      <c r="U48">
        <v>3.6526686151770231E-2</v>
      </c>
      <c r="V48">
        <v>3.4676400451139379E-2</v>
      </c>
      <c r="W48">
        <v>3.3039871824525904E-2</v>
      </c>
      <c r="X48">
        <v>3.1650275623284665E-2</v>
      </c>
      <c r="Y48">
        <v>3.0541335903888377E-2</v>
      </c>
      <c r="Z48">
        <v>2.9744459744192073E-2</v>
      </c>
      <c r="AA48">
        <v>2.9285132867532759E-2</v>
      </c>
      <c r="AB48">
        <v>2.917930025856854E-2</v>
      </c>
      <c r="AC48">
        <v>2.9430775643971986E-2</v>
      </c>
      <c r="AD48">
        <v>3.0030584099337752E-2</v>
      </c>
      <c r="AE48">
        <v>3.0958485793146376E-2</v>
      </c>
      <c r="AF48">
        <v>3.2186117174598121E-2</v>
      </c>
      <c r="AG48">
        <v>3.3680719556816785E-2</v>
      </c>
      <c r="AH48">
        <v>3.5408502310439328E-2</v>
      </c>
      <c r="AI48">
        <v>3.733710803995538E-2</v>
      </c>
      <c r="AJ48">
        <v>3.9437084991435147E-2</v>
      </c>
      <c r="AK48">
        <v>4.1682540030227574E-2</v>
      </c>
      <c r="AL48">
        <v>4.405123209442427E-2</v>
      </c>
      <c r="AM48">
        <v>4.6524341904186153E-2</v>
      </c>
      <c r="AN48">
        <v>4.9086089323899643E-2</v>
      </c>
      <c r="AO48">
        <v>5.1723305922239379E-2</v>
      </c>
      <c r="AP48">
        <v>5.4425022010585702E-2</v>
      </c>
      <c r="AR48">
        <v>3.2314855863717087E-2</v>
      </c>
      <c r="AS48">
        <v>-7.6072560231721012E-5</v>
      </c>
    </row>
    <row r="49" spans="1:45" x14ac:dyDescent="0.2">
      <c r="A49" s="33" t="s">
        <v>2006</v>
      </c>
      <c r="B49" s="34">
        <v>0.03</v>
      </c>
      <c r="C49" s="34">
        <v>6.8999999999999997E-4</v>
      </c>
      <c r="K49">
        <v>-0.14000000000000001</v>
      </c>
      <c r="L49">
        <v>5.8548508676324634E-2</v>
      </c>
      <c r="M49">
        <v>5.5751301612138461E-2</v>
      </c>
      <c r="N49">
        <v>5.3003903908948741E-2</v>
      </c>
      <c r="O49">
        <v>5.0314475676945837E-2</v>
      </c>
      <c r="P49">
        <v>4.7692824728866129E-2</v>
      </c>
      <c r="Q49">
        <v>4.5150758947178064E-2</v>
      </c>
      <c r="R49">
        <v>4.2702493736425769E-2</v>
      </c>
      <c r="S49">
        <v>4.0365100570025216E-2</v>
      </c>
      <c r="T49">
        <v>3.8158958996053399E-2</v>
      </c>
      <c r="U49">
        <v>3.6108134737371636E-2</v>
      </c>
      <c r="V49">
        <v>3.4240547187177804E-2</v>
      </c>
      <c r="W49">
        <v>3.2587715232246371E-2</v>
      </c>
      <c r="X49">
        <v>3.118380559447612E-2</v>
      </c>
      <c r="Y49">
        <v>3.0063710908097226E-2</v>
      </c>
      <c r="Z49">
        <v>2.9260043244887311E-2</v>
      </c>
      <c r="AA49">
        <v>2.8799305247439056E-2</v>
      </c>
      <c r="AB49">
        <v>2.869801856737032E-2</v>
      </c>
      <c r="AC49">
        <v>2.8959954964857225E-2</v>
      </c>
      <c r="AD49">
        <v>2.9575465310886517E-2</v>
      </c>
      <c r="AE49">
        <v>3.0523167267828066E-2</v>
      </c>
      <c r="AF49">
        <v>3.1773349944247867E-2</v>
      </c>
      <c r="AG49">
        <v>3.3291954406656978E-2</v>
      </c>
      <c r="AH49">
        <v>3.5044102566133488E-2</v>
      </c>
      <c r="AI49">
        <v>3.6996627630527447E-2</v>
      </c>
      <c r="AJ49">
        <v>3.9119537603524865E-2</v>
      </c>
      <c r="AK49">
        <v>4.1386621310645202E-2</v>
      </c>
      <c r="AL49">
        <v>4.3775484687475164E-2</v>
      </c>
      <c r="AM49">
        <v>4.6267268458938221E-2</v>
      </c>
      <c r="AN49">
        <v>4.884622438423479E-2</v>
      </c>
      <c r="AO49">
        <v>5.1499258028189422E-2</v>
      </c>
      <c r="AP49">
        <v>5.4215495508466188E-2</v>
      </c>
      <c r="AR49">
        <v>3.2185091009962967E-2</v>
      </c>
      <c r="AS49">
        <v>-2.5315509554784174E-4</v>
      </c>
    </row>
    <row r="50" spans="1:45" x14ac:dyDescent="0.2">
      <c r="A50" s="33" t="s">
        <v>2004</v>
      </c>
      <c r="B50" s="34">
        <v>0.04</v>
      </c>
      <c r="C50" s="34">
        <v>1.3760000000000001E-3</v>
      </c>
      <c r="K50">
        <v>-0.12</v>
      </c>
      <c r="L50">
        <v>5.826729352412658E-2</v>
      </c>
      <c r="M50">
        <v>5.5459183083597666E-2</v>
      </c>
      <c r="N50">
        <v>5.270000869913357E-2</v>
      </c>
      <c r="O50">
        <v>4.9997872758678119E-2</v>
      </c>
      <c r="P50">
        <v>4.7362538770769541E-2</v>
      </c>
      <c r="Q50">
        <v>4.4805795519640021E-2</v>
      </c>
      <c r="R50">
        <v>4.2341882107417073E-2</v>
      </c>
      <c r="S50">
        <v>3.9987961733057673E-2</v>
      </c>
      <c r="T50">
        <v>3.7764608056300941E-2</v>
      </c>
      <c r="U50">
        <v>3.5696226616311146E-2</v>
      </c>
      <c r="V50">
        <v>3.3811270348147474E-2</v>
      </c>
      <c r="W50">
        <v>3.2142026155540647E-2</v>
      </c>
      <c r="X50">
        <v>3.0723673659360257E-2</v>
      </c>
      <c r="Y50">
        <v>2.9592310416487282E-2</v>
      </c>
      <c r="Z50">
        <v>2.8781799515667603E-2</v>
      </c>
      <c r="AA50">
        <v>2.8319702785338147E-2</v>
      </c>
      <c r="AB50">
        <v>2.8223139146012099E-2</v>
      </c>
      <c r="AC50">
        <v>2.8495824879724015E-2</v>
      </c>
      <c r="AD50">
        <v>2.9127391280581606E-2</v>
      </c>
      <c r="AE50">
        <v>3.009525286426035E-2</v>
      </c>
      <c r="AF50">
        <v>3.1368296128908665E-2</v>
      </c>
      <c r="AG50">
        <v>3.2911125687425338E-2</v>
      </c>
      <c r="AH50">
        <v>3.4687761831971455E-2</v>
      </c>
      <c r="AI50">
        <v>3.666423165327632E-2</v>
      </c>
      <c r="AJ50">
        <v>3.8810016483558835E-2</v>
      </c>
      <c r="AK50">
        <v>4.1098604734206901E-2</v>
      </c>
      <c r="AL50">
        <v>4.3507466918432582E-2</v>
      </c>
      <c r="AM50">
        <v>4.6017719186568801E-2</v>
      </c>
      <c r="AN50">
        <v>4.8613657705677389E-2</v>
      </c>
      <c r="AO50">
        <v>5.1282271662155307E-2</v>
      </c>
      <c r="AP50">
        <v>5.4012790087653237E-2</v>
      </c>
      <c r="AR50">
        <v>3.237957214142665E-2</v>
      </c>
      <c r="AS50">
        <v>-4.302376308639625E-4</v>
      </c>
    </row>
    <row r="51" spans="1:45" x14ac:dyDescent="0.2">
      <c r="A51" s="33" t="s">
        <v>2003</v>
      </c>
      <c r="B51" s="34">
        <v>0.05</v>
      </c>
      <c r="C51" s="34">
        <v>2.085E-3</v>
      </c>
      <c r="K51">
        <v>-0.1</v>
      </c>
      <c r="L51">
        <v>5.7991824669347838E-2</v>
      </c>
      <c r="M51">
        <v>5.5172991151477127E-2</v>
      </c>
      <c r="N51">
        <v>5.2402219529682444E-2</v>
      </c>
      <c r="O51">
        <v>4.9687550810928044E-2</v>
      </c>
      <c r="P51">
        <v>4.703869932784651E-2</v>
      </c>
      <c r="Q51">
        <v>4.4467428509393309E-2</v>
      </c>
      <c r="R51">
        <v>4.1987993485470658E-2</v>
      </c>
      <c r="S51">
        <v>3.9617640396032119E-2</v>
      </c>
      <c r="T51">
        <v>3.7377128020731752E-2</v>
      </c>
      <c r="U51">
        <v>3.5291194404872321E-2</v>
      </c>
      <c r="V51">
        <v>3.3388823592368125E-2</v>
      </c>
      <c r="W51">
        <v>3.1703077360999692E-2</v>
      </c>
      <c r="X51">
        <v>3.0270168852324725E-2</v>
      </c>
      <c r="Y51">
        <v>2.9127436644072108E-2</v>
      </c>
      <c r="Z51">
        <v>2.8310041389515615E-2</v>
      </c>
      <c r="AA51">
        <v>2.7846647130547037E-2</v>
      </c>
      <c r="AB51">
        <v>2.7754990619090196E-2</v>
      </c>
      <c r="AC51">
        <v>2.8038717642464187E-2</v>
      </c>
      <c r="AD51">
        <v>2.8686692118774285E-2</v>
      </c>
      <c r="AE51">
        <v>2.9675062886476363E-2</v>
      </c>
      <c r="AF51">
        <v>3.0971258366924208E-2</v>
      </c>
      <c r="AG51">
        <v>3.2538512062795441E-2</v>
      </c>
      <c r="AH51">
        <v>3.4339730992045674E-2</v>
      </c>
      <c r="AI51">
        <v>3.63401419489097E-2</v>
      </c>
      <c r="AJ51">
        <v>3.8508715169987377E-2</v>
      </c>
      <c r="AK51">
        <v>4.0818657573896182E-2</v>
      </c>
      <c r="AL51">
        <v>4.3247322496800127E-2</v>
      </c>
      <c r="AM51">
        <v>4.5775817142514691E-2</v>
      </c>
      <c r="AN51">
        <v>4.8388494519907482E-2</v>
      </c>
      <c r="AO51">
        <v>5.1072436829044665E-2</v>
      </c>
      <c r="AP51">
        <v>5.3816982824438073E-2</v>
      </c>
      <c r="AR51">
        <v>3.2892548331188522E-2</v>
      </c>
      <c r="AS51">
        <v>-6.0732016618008321E-4</v>
      </c>
    </row>
    <row r="52" spans="1:45" x14ac:dyDescent="0.2">
      <c r="K52">
        <v>-0.08</v>
      </c>
      <c r="L52">
        <v>5.7722184381593128E-2</v>
      </c>
      <c r="M52">
        <v>5.48928185134498E-2</v>
      </c>
      <c r="N52">
        <v>5.2110641080626761E-2</v>
      </c>
      <c r="O52">
        <v>4.9383628240872911E-2</v>
      </c>
      <c r="P52">
        <v>4.672144044811806E-2</v>
      </c>
      <c r="Q52">
        <v>4.4135809630919981E-2</v>
      </c>
      <c r="R52">
        <v>4.1640999278620139E-2</v>
      </c>
      <c r="S52">
        <v>3.9254329506218058E-2</v>
      </c>
      <c r="T52">
        <v>3.6996734774286597E-2</v>
      </c>
      <c r="U52">
        <v>3.4893277545259893E-2</v>
      </c>
      <c r="V52">
        <v>3.2973469436163909E-2</v>
      </c>
      <c r="W52">
        <v>3.1271152687104425E-2</v>
      </c>
      <c r="X52">
        <v>2.9823593496059925E-2</v>
      </c>
      <c r="Y52">
        <v>2.8669407084411826E-2</v>
      </c>
      <c r="Z52">
        <v>2.7845098510163077E-2</v>
      </c>
      <c r="AA52">
        <v>2.7380477614992627E-2</v>
      </c>
      <c r="AB52">
        <v>2.7293919336090308E-2</v>
      </c>
      <c r="AC52">
        <v>2.7588982328827619E-2</v>
      </c>
      <c r="AD52">
        <v>2.8253712925404819E-2</v>
      </c>
      <c r="AE52">
        <v>2.9262930084280308E-2</v>
      </c>
      <c r="AF52">
        <v>3.0582548864985629E-2</v>
      </c>
      <c r="AG52">
        <v>3.2174398952528334E-2</v>
      </c>
      <c r="AH52">
        <v>3.4000265230570551E-2</v>
      </c>
      <c r="AI52">
        <v>3.6024582696504603E-2</v>
      </c>
      <c r="AJ52">
        <v>3.8215828083150563E-2</v>
      </c>
      <c r="AK52">
        <v>4.0546946970394772E-2</v>
      </c>
      <c r="AL52">
        <v>4.2995194336978619E-2</v>
      </c>
      <c r="AM52">
        <v>4.5541684185420463E-2</v>
      </c>
      <c r="AN52">
        <v>4.8170838644661991E-2</v>
      </c>
      <c r="AO52">
        <v>5.0869842027777237E-2</v>
      </c>
      <c r="AP52">
        <v>5.3628149278596479E-2</v>
      </c>
      <c r="AR52">
        <v>3.3709482557475703E-2</v>
      </c>
      <c r="AS52">
        <v>-7.8440270149620402E-4</v>
      </c>
    </row>
    <row r="53" spans="1:45" x14ac:dyDescent="0.2">
      <c r="K53">
        <v>-0.06</v>
      </c>
      <c r="L53">
        <v>5.7458454717591229E-2</v>
      </c>
      <c r="M53">
        <v>5.4618757799392466E-2</v>
      </c>
      <c r="N53">
        <v>5.1825378179800818E-2</v>
      </c>
      <c r="O53">
        <v>4.9086223915937151E-2</v>
      </c>
      <c r="P53">
        <v>4.6410897083412769E-2</v>
      </c>
      <c r="Q53">
        <v>4.3811092120194968E-2</v>
      </c>
      <c r="R53">
        <v>4.1301073259138836E-2</v>
      </c>
      <c r="S53">
        <v>3.8898225497633727E-2</v>
      </c>
      <c r="T53">
        <v>3.6623649139432279E-2</v>
      </c>
      <c r="U53">
        <v>3.4502722220531815E-2</v>
      </c>
      <c r="V53">
        <v>3.256547926687995E-2</v>
      </c>
      <c r="W53">
        <v>3.084654719821104E-2</v>
      </c>
      <c r="X53">
        <v>2.9384263528916307E-2</v>
      </c>
      <c r="Y53">
        <v>2.82185550150536E-2</v>
      </c>
      <c r="Z53">
        <v>2.7387317978470986E-2</v>
      </c>
      <c r="AA53">
        <v>2.6921551959083207E-2</v>
      </c>
      <c r="AB53">
        <v>2.6840290025124901E-2</v>
      </c>
      <c r="AC53">
        <v>2.7146985326099986E-2</v>
      </c>
      <c r="AD53">
        <v>2.7828814040012969E-2</v>
      </c>
      <c r="AE53">
        <v>2.8859199648764062E-2</v>
      </c>
      <c r="AF53">
        <v>3.0202489181792459E-2</v>
      </c>
      <c r="AG53">
        <v>3.1819078178049458E-2</v>
      </c>
      <c r="AH53">
        <v>3.3669623614481073E-2</v>
      </c>
      <c r="AI53">
        <v>3.5717779991151284E-2</v>
      </c>
      <c r="AJ53">
        <v>3.7931550133987635E-2</v>
      </c>
      <c r="AK53">
        <v>4.028363958921307E-2</v>
      </c>
      <c r="AL53">
        <v>4.2751224268498755E-2</v>
      </c>
      <c r="AM53">
        <v>4.5315440737929556E-2</v>
      </c>
      <c r="AN53">
        <v>4.7960792289177219E-2</v>
      </c>
      <c r="AO53">
        <v>5.0674574094449594E-2</v>
      </c>
      <c r="AP53">
        <v>5.3446363367563081E-2</v>
      </c>
      <c r="AR53">
        <v>3.4808980562225762E-2</v>
      </c>
      <c r="AS53">
        <v>-9.6148523681232484E-4</v>
      </c>
    </row>
    <row r="54" spans="1:45" x14ac:dyDescent="0.2">
      <c r="K54">
        <v>-0.04</v>
      </c>
      <c r="L54">
        <v>5.7200717431977417E-2</v>
      </c>
      <c r="M54">
        <v>5.4350901466263181E-2</v>
      </c>
      <c r="N54">
        <v>5.1546535679650091E-2</v>
      </c>
      <c r="O54">
        <v>4.8795457020781093E-2</v>
      </c>
      <c r="P54">
        <v>4.6107204925866167E-2</v>
      </c>
      <c r="Q54">
        <v>4.3493430552213344E-2</v>
      </c>
      <c r="R54">
        <v>4.09683913674928E-2</v>
      </c>
      <c r="S54">
        <v>3.8549528093030902E-2</v>
      </c>
      <c r="T54">
        <v>3.6258096696685074E-2</v>
      </c>
      <c r="U54">
        <v>3.4119781225154674E-2</v>
      </c>
      <c r="V54">
        <v>3.2165133305399739E-2</v>
      </c>
      <c r="W54">
        <v>3.042956728531182E-2</v>
      </c>
      <c r="X54">
        <v>2.895250878082881E-2</v>
      </c>
      <c r="Y54">
        <v>2.7775229956781378E-2</v>
      </c>
      <c r="Z54">
        <v>2.6937064957334701E-2</v>
      </c>
      <c r="AA54">
        <v>2.6470246934902526E-2</v>
      </c>
      <c r="AB54">
        <v>2.6394486393738172E-2</v>
      </c>
      <c r="AC54">
        <v>2.6713110752946925E-2</v>
      </c>
      <c r="AD54">
        <v>2.7412371205801478E-2</v>
      </c>
      <c r="AE54">
        <v>2.8464229114198145E-2</v>
      </c>
      <c r="AF54">
        <v>2.9831409921791199E-2</v>
      </c>
      <c r="AG54">
        <v>3.1472847530749193E-2</v>
      </c>
      <c r="AH54">
        <v>3.3348068615454994E-2</v>
      </c>
      <c r="AI54">
        <v>3.5419961377503931E-2</v>
      </c>
      <c r="AJ54">
        <v>3.7656076302531982E-2</v>
      </c>
      <c r="AK54">
        <v>4.002890125816369E-2</v>
      </c>
      <c r="AL54">
        <v>4.2515552734087698E-2</v>
      </c>
      <c r="AM54">
        <v>4.5097205540361708E-2</v>
      </c>
      <c r="AN54">
        <v>4.7758455855793081E-2</v>
      </c>
      <c r="AO54">
        <v>5.0486718043712332E-2</v>
      </c>
      <c r="AP54">
        <v>5.327169724005746E-2</v>
      </c>
      <c r="AR54">
        <v>3.6165279982125521E-2</v>
      </c>
      <c r="AS54">
        <v>-1.1385677721284454E-3</v>
      </c>
    </row>
    <row r="55" spans="1:45" x14ac:dyDescent="0.2">
      <c r="K55">
        <v>-2.0000000000001E-2</v>
      </c>
      <c r="L55">
        <v>5.6949053884862433E-2</v>
      </c>
      <c r="M55">
        <v>5.4089341688458366E-2</v>
      </c>
      <c r="N55">
        <v>5.1274218327694666E-2</v>
      </c>
      <c r="O55">
        <v>4.8511446905414667E-2</v>
      </c>
      <c r="P55">
        <v>4.5810500232076695E-2</v>
      </c>
      <c r="Q55">
        <v>4.3182980641507336E-2</v>
      </c>
      <c r="R55">
        <v>4.0643131493180502E-2</v>
      </c>
      <c r="S55">
        <v>3.8208440075127269E-2</v>
      </c>
      <c r="T55">
        <v>3.5900307565433033E-2</v>
      </c>
      <c r="U55">
        <v>3.3744713786402918E-2</v>
      </c>
      <c r="V55">
        <v>3.1772720511081196E-2</v>
      </c>
      <c r="W55">
        <v>3.0020530703832902E-2</v>
      </c>
      <c r="X55">
        <v>2.8528673185406549E-2</v>
      </c>
      <c r="Y55">
        <v>2.7339798071952925E-2</v>
      </c>
      <c r="Z55">
        <v>2.6494723218521362E-2</v>
      </c>
      <c r="AA55">
        <v>2.6026958968585111E-2</v>
      </c>
      <c r="AB55">
        <v>2.5956911657480295E-2</v>
      </c>
      <c r="AC55">
        <v>2.6287760789986011E-2</v>
      </c>
      <c r="AD55">
        <v>2.7004775629956297E-2</v>
      </c>
      <c r="AE55">
        <v>2.8078388151966688E-2</v>
      </c>
      <c r="AF55">
        <v>2.9469650329045149E-2</v>
      </c>
      <c r="AG55">
        <v>3.1136010257182024E-2</v>
      </c>
      <c r="AH55">
        <v>3.3035865568650742E-2</v>
      </c>
      <c r="AI55">
        <v>3.513135533850139E-2</v>
      </c>
      <c r="AJ55">
        <v>3.7389601186501052E-2</v>
      </c>
      <c r="AK55">
        <v>3.9782896585927714E-2</v>
      </c>
      <c r="AL55">
        <v>4.2288318476419735E-2</v>
      </c>
      <c r="AM55">
        <v>4.4887095398065707E-2</v>
      </c>
      <c r="AN55">
        <v>4.7563927738386663E-2</v>
      </c>
      <c r="AO55">
        <v>5.0306356908897218E-2</v>
      </c>
      <c r="AP55">
        <v>5.3104221149581868E-2</v>
      </c>
      <c r="AR55">
        <v>3.7750712039710095E-2</v>
      </c>
      <c r="AS55">
        <v>-1.3156503074445664E-3</v>
      </c>
    </row>
    <row r="56" spans="1:45" x14ac:dyDescent="0.2">
      <c r="K56" s="31">
        <v>-9.9920072216264108E-16</v>
      </c>
      <c r="L56">
        <v>5.6703544946304717E-2</v>
      </c>
      <c r="M56">
        <v>5.3834170243765661E-2</v>
      </c>
      <c r="N56">
        <v>5.1008530630742101E-2</v>
      </c>
      <c r="O56">
        <v>4.8234312924467282E-2</v>
      </c>
      <c r="P56">
        <v>4.5520919634811578E-2</v>
      </c>
      <c r="Q56">
        <v>4.2879899025277377E-2</v>
      </c>
      <c r="R56">
        <v>4.0325473231599629E-2</v>
      </c>
      <c r="S56">
        <v>3.7875167025405963E-2</v>
      </c>
      <c r="T56">
        <v>3.5550516142073191E-2</v>
      </c>
      <c r="U56">
        <v>3.3377785331694478E-2</v>
      </c>
      <c r="V56">
        <v>3.1388538421612086E-2</v>
      </c>
      <c r="W56">
        <v>2.9619766537851425E-2</v>
      </c>
      <c r="X56">
        <v>2.8113114914290339E-2</v>
      </c>
      <c r="Y56">
        <v>2.6912642485026082E-2</v>
      </c>
      <c r="Z56">
        <v>2.6060695612071361E-2</v>
      </c>
      <c r="AA56">
        <v>2.5592104660592172E-2</v>
      </c>
      <c r="AB56">
        <v>2.5527988973827086E-2</v>
      </c>
      <c r="AC56">
        <v>2.5871355898994496E-2</v>
      </c>
      <c r="AD56">
        <v>2.6606433920623472E-2</v>
      </c>
      <c r="AE56">
        <v>2.7702058241366026E-2</v>
      </c>
      <c r="AF56">
        <v>2.9117557771197664E-2</v>
      </c>
      <c r="AG56">
        <v>3.0808874455674248E-2</v>
      </c>
      <c r="AH56">
        <v>3.2733282065925309E-2</v>
      </c>
      <c r="AI56">
        <v>3.4852190738959635E-2</v>
      </c>
      <c r="AJ56">
        <v>3.7132318520632208E-2</v>
      </c>
      <c r="AK56">
        <v>3.9545788562703028E-2</v>
      </c>
      <c r="AL56">
        <v>4.2069658214558957E-2</v>
      </c>
      <c r="AM56">
        <v>4.468522492333532E-2</v>
      </c>
      <c r="AN56">
        <v>4.7377304118362357E-2</v>
      </c>
      <c r="AO56">
        <v>5.013357158146612E-2</v>
      </c>
      <c r="AP56">
        <v>5.2944003328230148E-2</v>
      </c>
      <c r="AR56">
        <v>3.953772221233999E-2</v>
      </c>
      <c r="AS56">
        <v>-1.4927328427606873E-3</v>
      </c>
    </row>
    <row r="57" spans="1:45" x14ac:dyDescent="0.2">
      <c r="K57">
        <v>1.9999999999999001E-2</v>
      </c>
      <c r="L57">
        <v>5.6464270897823771E-2</v>
      </c>
      <c r="M57">
        <v>5.3585478395058526E-2</v>
      </c>
      <c r="N57">
        <v>5.074957671298555E-2</v>
      </c>
      <c r="O57">
        <v>4.7964174267703108E-2</v>
      </c>
      <c r="P57">
        <v>4.5238599942233469E-2</v>
      </c>
      <c r="Q57">
        <v>4.2584343028861736E-2</v>
      </c>
      <c r="R57">
        <v>4.0015597616198988E-2</v>
      </c>
      <c r="S57">
        <v>3.7549917028920334E-2</v>
      </c>
      <c r="T57">
        <v>3.5208960792552778E-2</v>
      </c>
      <c r="U57">
        <v>3.3019267196891307E-2</v>
      </c>
      <c r="V57">
        <v>3.1012892919934955E-2</v>
      </c>
      <c r="W57">
        <v>2.9227615079278482E-2</v>
      </c>
      <c r="X57">
        <v>2.7706206418364972E-2</v>
      </c>
      <c r="Y57">
        <v>2.6494163506083673E-2</v>
      </c>
      <c r="Z57">
        <v>2.5635404435908764E-2</v>
      </c>
      <c r="AA57">
        <v>2.516612119921521E-2</v>
      </c>
      <c r="AB57">
        <v>2.510816175569278E-2</v>
      </c>
      <c r="AC57">
        <v>2.5464334905941365E-2</v>
      </c>
      <c r="AD57">
        <v>2.6217767879232596E-2</v>
      </c>
      <c r="AE57">
        <v>2.7335632201435599E-2</v>
      </c>
      <c r="AF57">
        <v>2.8775487103617745E-2</v>
      </c>
      <c r="AG57">
        <v>3.0491752379360648E-2</v>
      </c>
      <c r="AH57">
        <v>3.244058728188326E-2</v>
      </c>
      <c r="AI57">
        <v>3.4582696224241871E-2</v>
      </c>
      <c r="AJ57">
        <v>3.6884420667788249E-2</v>
      </c>
      <c r="AK57">
        <v>3.9317738144176141E-2</v>
      </c>
      <c r="AL57">
        <v>4.1859706311262013E-2</v>
      </c>
      <c r="AM57">
        <v>4.4491706272873813E-2</v>
      </c>
      <c r="AN57">
        <v>4.7198678758983446E-2</v>
      </c>
      <c r="AO57">
        <v>4.9968440650386706E-2</v>
      </c>
      <c r="AP57">
        <v>5.279110986126534E-2</v>
      </c>
      <c r="AR57">
        <v>4.1500278684494143E-2</v>
      </c>
      <c r="AS57">
        <v>-1.6698153780768078E-3</v>
      </c>
    </row>
    <row r="58" spans="1:45" x14ac:dyDescent="0.2">
      <c r="K58">
        <v>3.9999999999999002E-2</v>
      </c>
      <c r="L58">
        <v>5.6231311331113858E-2</v>
      </c>
      <c r="M58">
        <v>5.3343356767908967E-2</v>
      </c>
      <c r="N58">
        <v>5.0497460168167384E-2</v>
      </c>
      <c r="O58">
        <v>4.7701149781932392E-2</v>
      </c>
      <c r="P58">
        <v>4.4963677924703987E-2</v>
      </c>
      <c r="Q58">
        <v>4.2296470413382511E-2</v>
      </c>
      <c r="R58">
        <v>3.9713686825315495E-2</v>
      </c>
      <c r="S58">
        <v>3.7232900343698708E-2</v>
      </c>
      <c r="T58">
        <v>3.4875883496534213E-2</v>
      </c>
      <c r="U58">
        <v>3.2669436270608053E-2</v>
      </c>
      <c r="V58">
        <v>3.0646097920131378E-2</v>
      </c>
      <c r="W58">
        <v>2.884442760979504E-2</v>
      </c>
      <c r="X58">
        <v>2.7308334358920508E-2</v>
      </c>
      <c r="Y58">
        <v>2.6084778735805985E-2</v>
      </c>
      <c r="Z58">
        <v>2.5219291680155916E-2</v>
      </c>
      <c r="AA58">
        <v>2.4749466639042352E-2</v>
      </c>
      <c r="AB58">
        <v>2.4697893835321765E-2</v>
      </c>
      <c r="AC58">
        <v>2.5067154920334414E-2</v>
      </c>
      <c r="AD58">
        <v>2.5839214125331536E-2</v>
      </c>
      <c r="AE58">
        <v>2.6979513567610622E-2</v>
      </c>
      <c r="AF58">
        <v>2.8443799904205917E-2</v>
      </c>
      <c r="AG58">
        <v>3.0184959641377514E-2</v>
      </c>
      <c r="AH58">
        <v>3.2158051231816587E-2</v>
      </c>
      <c r="AI58">
        <v>3.4323099574778457E-2</v>
      </c>
      <c r="AJ58">
        <v>3.6646098083256286E-2</v>
      </c>
      <c r="AK58">
        <v>3.9098903820319428E-2</v>
      </c>
      <c r="AL58">
        <v>4.1658594432469803E-2</v>
      </c>
      <c r="AM58">
        <v>4.4306648881887747E-2</v>
      </c>
      <c r="AN58">
        <v>4.7028142798884072E-2</v>
      </c>
      <c r="AO58">
        <v>4.9811040242069282E-2</v>
      </c>
      <c r="AP58">
        <v>5.2645604562938812E-2</v>
      </c>
      <c r="AR58">
        <v>4.3614690403081642E-2</v>
      </c>
      <c r="AS58">
        <v>-1.8468979133929287E-3</v>
      </c>
    </row>
    <row r="59" spans="1:45" x14ac:dyDescent="0.2">
      <c r="K59">
        <v>5.9999999999998999E-2</v>
      </c>
      <c r="L59">
        <v>5.6004745044139555E-2</v>
      </c>
      <c r="M59">
        <v>5.3107895224327524E-2</v>
      </c>
      <c r="N59">
        <v>5.0252283906034485E-2</v>
      </c>
      <c r="O59">
        <v>4.7445357784536728E-2</v>
      </c>
      <c r="P59">
        <v>4.4696290089314729E-2</v>
      </c>
      <c r="Q59">
        <v>4.2016439105534806E-2</v>
      </c>
      <c r="R59">
        <v>3.9419923863263866E-2</v>
      </c>
      <c r="S59">
        <v>3.6924329033543618E-2</v>
      </c>
      <c r="T59">
        <v>3.4551529440601192E-2</v>
      </c>
      <c r="U59">
        <v>3.2328574569682696E-2</v>
      </c>
      <c r="V59">
        <v>3.0288474964015686E-2</v>
      </c>
      <c r="W59">
        <v>2.8470566072692358E-2</v>
      </c>
      <c r="X59">
        <v>2.6919899410449945E-2</v>
      </c>
      <c r="Y59">
        <v>2.5684923027983007E-2</v>
      </c>
      <c r="Z59">
        <v>2.4812819117414842E-2</v>
      </c>
      <c r="AA59">
        <v>2.4342620012421566E-2</v>
      </c>
      <c r="AB59">
        <v>2.4297669445858629E-2</v>
      </c>
      <c r="AC59">
        <v>2.468029106081902E-2</v>
      </c>
      <c r="AD59">
        <v>2.5471223529872699E-2</v>
      </c>
      <c r="AE59">
        <v>2.6634115796966187E-2</v>
      </c>
      <c r="AF59">
        <v>2.8122863570040891E-2</v>
      </c>
      <c r="AG59">
        <v>2.988881431886398E-2</v>
      </c>
      <c r="AH59">
        <v>3.1885943961428985E-2</v>
      </c>
      <c r="AI59">
        <v>3.4073627017837671E-2</v>
      </c>
      <c r="AJ59">
        <v>3.6417538754088125E-2</v>
      </c>
      <c r="AK59">
        <v>3.8889441170782718E-2</v>
      </c>
      <c r="AL59">
        <v>4.1466451200476449E-2</v>
      </c>
      <c r="AM59">
        <v>4.4130159195981677E-2</v>
      </c>
      <c r="AN59">
        <v>4.6865784545650616E-2</v>
      </c>
      <c r="AO59">
        <v>4.9661443861525691E-2</v>
      </c>
      <c r="AP59">
        <v>5.2507548854036759E-2</v>
      </c>
      <c r="AR59">
        <v>4.5859957936506109E-2</v>
      </c>
      <c r="AS59">
        <v>-2.0239804487090494E-3</v>
      </c>
    </row>
    <row r="60" spans="1:45" x14ac:dyDescent="0.2">
      <c r="K60">
        <v>7.9999999999999002E-2</v>
      </c>
      <c r="L60">
        <v>5.5784649934817097E-2</v>
      </c>
      <c r="M60">
        <v>5.2879182732872065E-2</v>
      </c>
      <c r="N60">
        <v>5.0014149993360159E-2</v>
      </c>
      <c r="O60">
        <v>4.7196915868895996E-2</v>
      </c>
      <c r="P60">
        <v>4.443657244239739E-2</v>
      </c>
      <c r="Q60">
        <v>4.1744406909629009E-2</v>
      </c>
      <c r="R60">
        <v>3.9134492215440825E-2</v>
      </c>
      <c r="S60">
        <v>3.6624416563265288E-2</v>
      </c>
      <c r="T60">
        <v>3.4236146558195325E-2</v>
      </c>
      <c r="U60">
        <v>3.1996968741184593E-2</v>
      </c>
      <c r="V60">
        <v>2.9940352720198952E-2</v>
      </c>
      <c r="W60">
        <v>2.8106402621306259E-2</v>
      </c>
      <c r="X60">
        <v>2.6541315915520919E-2</v>
      </c>
      <c r="Y60">
        <v>2.5295048283398527E-2</v>
      </c>
      <c r="Z60">
        <v>2.4416468207070999E-2</v>
      </c>
      <c r="AA60">
        <v>2.3946081238269839E-2</v>
      </c>
      <c r="AB60">
        <v>2.3907992984527043E-2</v>
      </c>
      <c r="AC60">
        <v>2.4304235954706249E-2</v>
      </c>
      <c r="AD60">
        <v>2.5114260432100001E-2</v>
      </c>
      <c r="AE60">
        <v>2.6299861286252394E-2</v>
      </c>
      <c r="AF60">
        <v>2.7813050268108982E-2</v>
      </c>
      <c r="AG60">
        <v>2.9603635953579465E-2</v>
      </c>
      <c r="AH60">
        <v>3.1624534669196867E-2</v>
      </c>
      <c r="AI60">
        <v>3.3834502498631076E-2</v>
      </c>
      <c r="AJ60">
        <v>3.6198927615773042E-2</v>
      </c>
      <c r="AK60">
        <v>3.8689502408916374E-2</v>
      </c>
      <c r="AL60">
        <v>4.1283401842418244E-2</v>
      </c>
      <c r="AM60">
        <v>4.3962340402111028E-2</v>
      </c>
      <c r="AN60">
        <v>4.6711689270406948E-2</v>
      </c>
      <c r="AO60">
        <v>4.9519722235433487E-2</v>
      </c>
      <c r="AP60">
        <v>5.2377001641649795E-2</v>
      </c>
      <c r="AR60">
        <v>4.8217804801079692E-2</v>
      </c>
      <c r="AS60">
        <v>-2.2010629840251701E-3</v>
      </c>
    </row>
    <row r="61" spans="1:45" x14ac:dyDescent="0.2">
      <c r="K61">
        <v>9.9999999999999006E-2</v>
      </c>
      <c r="L61">
        <v>5.5571102892507898E-2</v>
      </c>
      <c r="M61">
        <v>5.2657307235400831E-2</v>
      </c>
      <c r="N61">
        <v>4.9783159489857211E-2</v>
      </c>
      <c r="O61">
        <v>4.6955940702079313E-2</v>
      </c>
      <c r="P61">
        <v>4.4184660240373964E-2</v>
      </c>
      <c r="Q61">
        <v>4.1480531202153677E-2</v>
      </c>
      <c r="R61">
        <v>3.8857575477426166E-2</v>
      </c>
      <c r="S61">
        <v>3.6333377355681706E-2</v>
      </c>
      <c r="T61">
        <v>3.3929985014325065E-2</v>
      </c>
      <c r="U61">
        <v>3.1674909486685963E-2</v>
      </c>
      <c r="V61">
        <v>2.960206637757979E-2</v>
      </c>
      <c r="W61">
        <v>2.7752319030506203E-2</v>
      </c>
      <c r="X61">
        <v>2.617301137115903E-2</v>
      </c>
      <c r="Y61">
        <v>2.4915623046877815E-2</v>
      </c>
      <c r="Z61">
        <v>2.4030739778643218E-2</v>
      </c>
      <c r="AA61">
        <v>2.356037078908322E-2</v>
      </c>
      <c r="AB61">
        <v>2.3529388518292858E-2</v>
      </c>
      <c r="AC61">
        <v>2.3939498977337097E-2</v>
      </c>
      <c r="AD61">
        <v>2.476880161498618E-2</v>
      </c>
      <c r="AE61">
        <v>2.5977180187900038E-2</v>
      </c>
      <c r="AF61">
        <v>2.7514735733824094E-2</v>
      </c>
      <c r="AG61">
        <v>2.9329744448344457E-2</v>
      </c>
      <c r="AH61">
        <v>3.1374090763298217E-2</v>
      </c>
      <c r="AI61">
        <v>3.3605946913569079E-2</v>
      </c>
      <c r="AJ61">
        <v>3.5990445948988141E-2</v>
      </c>
      <c r="AK61">
        <v>3.8499235916728498E-2</v>
      </c>
      <c r="AL61">
        <v>4.1109567835873238E-2</v>
      </c>
      <c r="AM61">
        <v>4.3803292159928758E-2</v>
      </c>
      <c r="AN61">
        <v>4.6565939004376944E-2</v>
      </c>
      <c r="AO61">
        <v>4.938594315780654E-2</v>
      </c>
      <c r="AP61">
        <v>5.2254019201668202E-2</v>
      </c>
      <c r="AR61">
        <v>5.0672518120253349E-2</v>
      </c>
      <c r="AS61">
        <v>-2.3781455193412908E-3</v>
      </c>
    </row>
    <row r="62" spans="1:45" x14ac:dyDescent="0.2">
      <c r="K62">
        <v>0.119999999999999</v>
      </c>
      <c r="L62">
        <v>5.5364179687573317E-2</v>
      </c>
      <c r="M62">
        <v>5.2442355510778818E-2</v>
      </c>
      <c r="N62">
        <v>4.9559412279358069E-2</v>
      </c>
      <c r="O62">
        <v>4.6722547815239338E-2</v>
      </c>
      <c r="P62">
        <v>4.3940687729423757E-2</v>
      </c>
      <c r="Q62">
        <v>4.1224968609297974E-2</v>
      </c>
      <c r="R62">
        <v>3.8589356958310929E-2</v>
      </c>
      <c r="S62">
        <v>3.6051426310060787E-2</v>
      </c>
      <c r="T62">
        <v>3.3633296633529895E-2</v>
      </c>
      <c r="U62">
        <v>3.1362690905018788E-2</v>
      </c>
      <c r="V62">
        <v>2.9273956925635287E-2</v>
      </c>
      <c r="W62">
        <v>2.7408705957772204E-2</v>
      </c>
      <c r="X62">
        <v>2.5815425725537647E-2</v>
      </c>
      <c r="Y62">
        <v>2.4547131877621683E-2</v>
      </c>
      <c r="Z62">
        <v>2.3656153456541016E-2</v>
      </c>
      <c r="AA62">
        <v>2.3186029073926143E-2</v>
      </c>
      <c r="AB62">
        <v>2.3162398990388383E-2</v>
      </c>
      <c r="AC62">
        <v>2.3586605196136371E-2</v>
      </c>
      <c r="AD62">
        <v>2.4435335014735032E-2</v>
      </c>
      <c r="AE62">
        <v>2.5666509010804923E-2</v>
      </c>
      <c r="AF62">
        <v>2.7228297912954287E-2</v>
      </c>
      <c r="AG62">
        <v>2.9067458860156964E-2</v>
      </c>
      <c r="AH62">
        <v>3.1134876856231664E-2</v>
      </c>
      <c r="AI62">
        <v>3.3388177309250783E-2</v>
      </c>
      <c r="AJ62">
        <v>3.5792270759630394E-2</v>
      </c>
      <c r="AK62">
        <v>3.8318785773336868E-2</v>
      </c>
      <c r="AL62">
        <v>4.0945066553499956E-2</v>
      </c>
      <c r="AM62">
        <v>4.3653110334931043E-2</v>
      </c>
      <c r="AN62">
        <v>4.642861233843041E-2</v>
      </c>
      <c r="AO62">
        <v>4.9260171338986504E-2</v>
      </c>
      <c r="AP62">
        <v>5.2138655064508786E-2</v>
      </c>
      <c r="AR62">
        <v>5.321069366560871E-2</v>
      </c>
      <c r="AS62">
        <v>-2.5552280546574115E-3</v>
      </c>
    </row>
    <row r="63" spans="1:45" x14ac:dyDescent="0.2">
      <c r="K63">
        <v>0.13999999999999899</v>
      </c>
      <c r="L63">
        <v>5.51639548592621E-2</v>
      </c>
      <c r="M63">
        <v>5.2234413035881097E-2</v>
      </c>
      <c r="N63">
        <v>4.934300689669012E-2</v>
      </c>
      <c r="O63">
        <v>4.6496851387228991E-2</v>
      </c>
      <c r="P63">
        <v>4.3704787874565582E-2</v>
      </c>
      <c r="Q63">
        <v>4.0977874668056621E-2</v>
      </c>
      <c r="R63">
        <v>3.8330019258755975E-2</v>
      </c>
      <c r="S63">
        <v>3.577877828207271E-2</v>
      </c>
      <c r="T63">
        <v>3.3346334270115782E-2</v>
      </c>
      <c r="U63">
        <v>3.1060609750395173E-2</v>
      </c>
      <c r="V63">
        <v>2.895637031455869E-2</v>
      </c>
      <c r="W63">
        <v>2.707596204083677E-2</v>
      </c>
      <c r="X63">
        <v>2.5469010463606112E-2</v>
      </c>
      <c r="Y63">
        <v>2.4190074461836356E-2</v>
      </c>
      <c r="Z63">
        <v>2.3293246786538047E-2</v>
      </c>
      <c r="AA63">
        <v>2.2823615492804948E-2</v>
      </c>
      <c r="AB63">
        <v>2.2807585084434364E-2</v>
      </c>
      <c r="AC63">
        <v>2.3246093984140345E-2</v>
      </c>
      <c r="AD63">
        <v>2.4114358141379688E-2</v>
      </c>
      <c r="AE63">
        <v>2.5368288995070792E-2</v>
      </c>
      <c r="AF63">
        <v>2.6954115444948305E-2</v>
      </c>
      <c r="AG63">
        <v>2.8817096092723118E-2</v>
      </c>
      <c r="AH63">
        <v>3.090715370153552E-2</v>
      </c>
      <c r="AI63">
        <v>3.3181406051566137E-2</v>
      </c>
      <c r="AJ63">
        <v>3.5604574145788416E-2</v>
      </c>
      <c r="AK63">
        <v>3.8148291279721115E-2</v>
      </c>
      <c r="AL63">
        <v>4.0790010908768014E-2</v>
      </c>
      <c r="AM63">
        <v>4.3511886734866438E-2</v>
      </c>
      <c r="AN63">
        <v>4.6299784226643492E-2</v>
      </c>
      <c r="AO63">
        <v>4.9142468258677352E-2</v>
      </c>
      <c r="AP63">
        <v>5.203095990457933E-2</v>
      </c>
      <c r="AR63">
        <v>5.5820947528849439E-2</v>
      </c>
      <c r="AS63">
        <v>-2.7323105899735318E-3</v>
      </c>
    </row>
    <row r="64" spans="1:45" x14ac:dyDescent="0.2">
      <c r="K64">
        <v>0.159999999999999</v>
      </c>
      <c r="L64">
        <v>5.4970501602223928E-2</v>
      </c>
      <c r="M64">
        <v>5.2033563844270096E-2</v>
      </c>
      <c r="N64">
        <v>4.913404035072657E-2</v>
      </c>
      <c r="O64">
        <v>4.6278964022041229E-2</v>
      </c>
      <c r="P64">
        <v>4.3477092078880036E-2</v>
      </c>
      <c r="Q64">
        <v>4.0739403471736123E-2</v>
      </c>
      <c r="R64">
        <v>3.807974382458295E-2</v>
      </c>
      <c r="S64">
        <v>3.5515647525763736E-2</v>
      </c>
      <c r="T64">
        <v>3.3069351120307428E-2</v>
      </c>
      <c r="U64">
        <v>3.0768964603599101E-2</v>
      </c>
      <c r="V64">
        <v>2.8649656489255798E-2</v>
      </c>
      <c r="W64">
        <v>2.6754492819761042E-2</v>
      </c>
      <c r="X64">
        <v>2.5134227460743633E-2</v>
      </c>
      <c r="Y64">
        <v>2.384496443632533E-2</v>
      </c>
      <c r="Z64">
        <v>2.2942574023119281E-2</v>
      </c>
      <c r="AA64">
        <v>2.2473707116505259E-2</v>
      </c>
      <c r="AB64">
        <v>2.2465523702466329E-2</v>
      </c>
      <c r="AC64">
        <v>2.2918517268993643E-2</v>
      </c>
      <c r="AD64">
        <v>2.380637619016614E-2</v>
      </c>
      <c r="AE64">
        <v>2.5082964253088685E-2</v>
      </c>
      <c r="AF64">
        <v>2.6692565988514598E-2</v>
      </c>
      <c r="AG64">
        <v>2.8578969493250689E-2</v>
      </c>
      <c r="AH64">
        <v>3.0691177078381447E-2</v>
      </c>
      <c r="AI64">
        <v>3.2985839970090899E-2</v>
      </c>
      <c r="AJ64">
        <v>3.5427522655751588E-2</v>
      </c>
      <c r="AK64">
        <v>3.798788648280664E-2</v>
      </c>
      <c r="AL64">
        <v>4.0644509004942861E-2</v>
      </c>
      <c r="AM64">
        <v>4.3379708850920427E-2</v>
      </c>
      <c r="AN64">
        <v>4.6179525794921655E-2</v>
      </c>
      <c r="AO64">
        <v>4.9032892023747797E-2</v>
      </c>
      <c r="AP64">
        <v>5.1930981433982663E-2</v>
      </c>
      <c r="AR64">
        <v>6.035185884636686E-2</v>
      </c>
      <c r="AS64">
        <v>2.5846362017921134E-3</v>
      </c>
    </row>
    <row r="65" spans="11:45" x14ac:dyDescent="0.2">
      <c r="K65">
        <v>0.17999999999999899</v>
      </c>
      <c r="L65">
        <v>5.4783891651963686E-2</v>
      </c>
      <c r="M65">
        <v>5.183989038295736E-2</v>
      </c>
      <c r="N65">
        <v>4.8932607944145376E-2</v>
      </c>
      <c r="O65">
        <v>4.6068996520754718E-2</v>
      </c>
      <c r="P65">
        <v>4.3257729893727045E-2</v>
      </c>
      <c r="Q65">
        <v>4.0509707300885912E-2</v>
      </c>
      <c r="R65">
        <v>3.7838710477019664E-2</v>
      </c>
      <c r="S65">
        <v>3.5262247098553613E-2</v>
      </c>
      <c r="T65">
        <v>3.2802599976688641E-2</v>
      </c>
      <c r="U65">
        <v>3.0488054954970815E-2</v>
      </c>
      <c r="V65">
        <v>2.8354168292500721E-2</v>
      </c>
      <c r="W65">
        <v>2.6444709472729165E-2</v>
      </c>
      <c r="X65">
        <v>2.4811547584746033E-2</v>
      </c>
      <c r="Y65">
        <v>2.3512327892376957E-2</v>
      </c>
      <c r="Z65">
        <v>2.2604704536946407E-2</v>
      </c>
      <c r="AA65">
        <v>2.2136896946096749E-2</v>
      </c>
      <c r="AB65">
        <v>2.213680601435165E-2</v>
      </c>
      <c r="AC65">
        <v>2.2604437386217539E-2</v>
      </c>
      <c r="AD65">
        <v>2.3511899827391429E-2</v>
      </c>
      <c r="AE65">
        <v>2.481097967341505E-2</v>
      </c>
      <c r="AF65">
        <v>2.6444024393639607E-2</v>
      </c>
      <c r="AG65">
        <v>2.8353387360660537E-2</v>
      </c>
      <c r="AH65">
        <v>3.0487196631231749E-2</v>
      </c>
      <c r="AI65">
        <v>3.2801679483748673E-2</v>
      </c>
      <c r="AJ65">
        <v>3.526127664156864E-2</v>
      </c>
      <c r="AK65">
        <v>3.783769970211398E-2</v>
      </c>
      <c r="AL65">
        <v>4.0508663789576474E-2</v>
      </c>
      <c r="AM65">
        <v>4.3256659605221459E-2</v>
      </c>
      <c r="AN65">
        <v>4.6067904155740774E-2</v>
      </c>
      <c r="AO65">
        <v>4.8931497231522611E-2</v>
      </c>
      <c r="AP65">
        <v>5.1838764300954902E-2</v>
      </c>
      <c r="AR65">
        <v>5.7623296042086145E-2</v>
      </c>
      <c r="AS65">
        <v>2.4075536664759931E-3</v>
      </c>
    </row>
    <row r="66" spans="11:45" x14ac:dyDescent="0.2">
      <c r="K66">
        <v>0.19999999999999901</v>
      </c>
      <c r="L66">
        <v>5.4604195169571761E-2</v>
      </c>
      <c r="M66">
        <v>5.1653473367692639E-2</v>
      </c>
      <c r="N66">
        <v>4.8738803090480669E-2</v>
      </c>
      <c r="O66">
        <v>4.5867057648750799E-2</v>
      </c>
      <c r="P66">
        <v>4.3046828720946166E-2</v>
      </c>
      <c r="Q66">
        <v>4.028893624089111E-2</v>
      </c>
      <c r="R66">
        <v>3.7607096921062226E-2</v>
      </c>
      <c r="S66">
        <v>3.501878823079424E-2</v>
      </c>
      <c r="T66">
        <v>3.2546332426123294E-2</v>
      </c>
      <c r="U66">
        <v>3.0218180199106985E-2</v>
      </c>
      <c r="V66">
        <v>2.8070260234189934E-2</v>
      </c>
      <c r="W66">
        <v>2.6147027356853664E-2</v>
      </c>
      <c r="X66">
        <v>2.4501449028586638E-2</v>
      </c>
      <c r="Y66">
        <v>2.3192701531220342E-2</v>
      </c>
      <c r="Z66">
        <v>2.2280220803384758E-2</v>
      </c>
      <c r="AA66">
        <v>2.1813791708328735E-2</v>
      </c>
      <c r="AB66">
        <v>2.1822035039303498E-2</v>
      </c>
      <c r="AC66">
        <v>2.2304424510269118E-2</v>
      </c>
      <c r="AD66">
        <v>2.3231442639824677E-2</v>
      </c>
      <c r="AE66">
        <v>2.4552778588911285E-2</v>
      </c>
      <c r="AF66">
        <v>2.6208860728009577E-2</v>
      </c>
      <c r="AG66">
        <v>2.8140651374830874E-2</v>
      </c>
      <c r="AH66">
        <v>3.029545467318167E-2</v>
      </c>
      <c r="AI66">
        <v>3.2629117714478663E-2</v>
      </c>
      <c r="AJ66">
        <v>3.5105989613045695E-2</v>
      </c>
      <c r="AK66">
        <v>3.7697853062378821E-2</v>
      </c>
      <c r="AL66">
        <v>4.0382572716824307E-2</v>
      </c>
      <c r="AM66">
        <v>4.3142817106234119E-2</v>
      </c>
      <c r="AN66">
        <v>4.5964982230060722E-2</v>
      </c>
      <c r="AO66">
        <v>4.8838334839274515E-2</v>
      </c>
      <c r="AP66">
        <v>5.1754349993520896E-2</v>
      </c>
      <c r="AR66">
        <v>5.4949686643432964E-2</v>
      </c>
      <c r="AS66">
        <v>2.230471131159872E-3</v>
      </c>
    </row>
    <row r="67" spans="11:45" x14ac:dyDescent="0.2">
      <c r="K67">
        <v>0.219999999999999</v>
      </c>
      <c r="L67">
        <v>5.4431480626085001E-2</v>
      </c>
      <c r="M67">
        <v>5.1474391637254202E-2</v>
      </c>
      <c r="N67">
        <v>4.8552717129100524E-2</v>
      </c>
      <c r="O67">
        <v>4.567325389904843E-2</v>
      </c>
      <c r="P67">
        <v>4.2844513508159945E-2</v>
      </c>
      <c r="Q67">
        <v>4.0077237787680978E-2</v>
      </c>
      <c r="R67">
        <v>3.738507823377147E-2</v>
      </c>
      <c r="S67">
        <v>3.4785479662002204E-2</v>
      </c>
      <c r="T67">
        <v>3.2300797993260022E-2</v>
      </c>
      <c r="U67">
        <v>2.995963854259057E-2</v>
      </c>
      <c r="V67">
        <v>2.7798287125638373E-2</v>
      </c>
      <c r="W67">
        <v>2.5861864347947759E-2</v>
      </c>
      <c r="X67">
        <v>2.4204415359585472E-2</v>
      </c>
      <c r="Y67">
        <v>2.288663044579714E-2</v>
      </c>
      <c r="Z67">
        <v>2.1969715936741373E-2</v>
      </c>
      <c r="AA67">
        <v>2.150500914752632E-2</v>
      </c>
      <c r="AB67">
        <v>2.1521822725892415E-2</v>
      </c>
      <c r="AC67">
        <v>2.2019053643827516E-2</v>
      </c>
      <c r="AD67">
        <v>2.2965518243885433E-2</v>
      </c>
      <c r="AE67">
        <v>2.4308800216509684E-2</v>
      </c>
      <c r="AF67">
        <v>2.5987438169961925E-2</v>
      </c>
      <c r="AG67">
        <v>2.7941054959046783E-2</v>
      </c>
      <c r="AH67">
        <v>3.0116184963019755E-2</v>
      </c>
      <c r="AI67">
        <v>3.246833959636107E-2</v>
      </c>
      <c r="AJ67">
        <v>3.4961807597404124E-2</v>
      </c>
      <c r="AK67">
        <v>3.7568462035684237E-2</v>
      </c>
      <c r="AL67">
        <v>4.0266327419952973E-2</v>
      </c>
      <c r="AM67">
        <v>4.3038254413608958E-2</v>
      </c>
      <c r="AN67">
        <v>4.5870818577453704E-2</v>
      </c>
      <c r="AO67">
        <v>4.8753452040612252E-2</v>
      </c>
      <c r="AP67">
        <v>5.1677776748834232E-2</v>
      </c>
      <c r="AR67">
        <v>5.233945273485878E-2</v>
      </c>
      <c r="AS67">
        <v>2.0533885958437512E-3</v>
      </c>
    </row>
    <row r="68" spans="11:45" x14ac:dyDescent="0.2">
      <c r="K68">
        <v>0.23999999999999899</v>
      </c>
      <c r="L68">
        <v>5.4265814686850912E-2</v>
      </c>
      <c r="M68">
        <v>5.1302722007243576E-2</v>
      </c>
      <c r="N68">
        <v>4.8374439138793641E-2</v>
      </c>
      <c r="O68">
        <v>4.5487689252682997E-2</v>
      </c>
      <c r="P68">
        <v>4.2650906438432466E-2</v>
      </c>
      <c r="Q68">
        <v>3.9874756443226765E-2</v>
      </c>
      <c r="R68">
        <v>3.7172826334687735E-2</v>
      </c>
      <c r="S68">
        <v>3.4562526946485261E-2</v>
      </c>
      <c r="T68">
        <v>3.2066243232715182E-2</v>
      </c>
      <c r="U68">
        <v>2.9712725827635712E-2</v>
      </c>
      <c r="V68">
        <v>2.7538602580238422E-2</v>
      </c>
      <c r="W68">
        <v>2.5589638976582771E-2</v>
      </c>
      <c r="X68">
        <v>2.3920933274996614E-2</v>
      </c>
      <c r="Y68">
        <v>2.2594665508860766E-2</v>
      </c>
      <c r="Z68">
        <v>2.1673790740967116E-2</v>
      </c>
      <c r="AA68">
        <v>2.1211174781813127E-2</v>
      </c>
      <c r="AB68">
        <v>2.1236786505530538E-2</v>
      </c>
      <c r="AC68">
        <v>2.1748901155088485E-2</v>
      </c>
      <c r="AD68">
        <v>2.2714637059429332E-2</v>
      </c>
      <c r="AE68">
        <v>2.4079476882707763E-2</v>
      </c>
      <c r="AF68">
        <v>2.5780110784548241E-2</v>
      </c>
      <c r="AG68">
        <v>2.7754881590411618E-2</v>
      </c>
      <c r="AH68">
        <v>2.9949611467386762E-2</v>
      </c>
      <c r="AI68">
        <v>3.2319520988290433E-2</v>
      </c>
      <c r="AJ68">
        <v>3.4828868510089914E-2</v>
      </c>
      <c r="AK68">
        <v>3.7449634996741775E-2</v>
      </c>
      <c r="AL68">
        <v>4.0160013396420897E-2</v>
      </c>
      <c r="AM68">
        <v>4.2943039314045889E-2</v>
      </c>
      <c r="AN68">
        <v>4.5785467235468308E-2</v>
      </c>
      <c r="AO68">
        <v>4.8676892149438419E-2</v>
      </c>
      <c r="AP68">
        <v>5.1609079468650114E-2</v>
      </c>
      <c r="AR68">
        <v>4.9802560153801564E-2</v>
      </c>
      <c r="AS68">
        <v>1.8763060605276301E-3</v>
      </c>
    </row>
    <row r="69" spans="11:45" x14ac:dyDescent="0.2">
      <c r="K69">
        <v>0.25999999999999901</v>
      </c>
      <c r="L69">
        <v>5.4107262096284435E-2</v>
      </c>
      <c r="M69">
        <v>5.1138539123915139E-2</v>
      </c>
      <c r="N69">
        <v>4.8204055750692233E-2</v>
      </c>
      <c r="O69">
        <v>4.5310464937130771E-2</v>
      </c>
      <c r="P69">
        <v>4.2466126615663166E-2</v>
      </c>
      <c r="Q69">
        <v>3.9681633302720544E-2</v>
      </c>
      <c r="R69">
        <v>3.6970509440919126E-2</v>
      </c>
      <c r="S69">
        <v>3.4350131731713439E-2</v>
      </c>
      <c r="T69">
        <v>3.1842910774087685E-2</v>
      </c>
      <c r="U69">
        <v>2.9477734276270581E-2</v>
      </c>
      <c r="V69">
        <v>2.7291557384542784E-2</v>
      </c>
      <c r="W69">
        <v>2.5330768361828907E-2</v>
      </c>
      <c r="X69">
        <v>2.365149005967571E-2</v>
      </c>
      <c r="Y69">
        <v>2.2317360354681539E-2</v>
      </c>
      <c r="Z69">
        <v>2.1393050256425596E-2</v>
      </c>
      <c r="AA69">
        <v>2.0932918101943049E-2</v>
      </c>
      <c r="AB69">
        <v>2.0967545306182705E-2</v>
      </c>
      <c r="AC69">
        <v>2.1494540864751211E-2</v>
      </c>
      <c r="AD69">
        <v>2.2479302763243381E-2</v>
      </c>
      <c r="AE69">
        <v>2.3865231056332325E-2</v>
      </c>
      <c r="AF69">
        <v>2.5587221203916665E-2</v>
      </c>
      <c r="AG69">
        <v>2.7582403075505621E-2</v>
      </c>
      <c r="AH69">
        <v>2.9795947120650951E-2</v>
      </c>
      <c r="AI69">
        <v>3.2182827798828667E-2</v>
      </c>
      <c r="AJ69">
        <v>3.4707301542427016E-2</v>
      </c>
      <c r="AK69">
        <v>3.734147279500797E-2</v>
      </c>
      <c r="AL69">
        <v>4.0063709707903364E-2</v>
      </c>
      <c r="AM69">
        <v>4.2857234109697814E-2</v>
      </c>
      <c r="AN69">
        <v>4.5708977569217268E-2</v>
      </c>
      <c r="AO69">
        <v>4.8608694492121837E-2</v>
      </c>
      <c r="AP69">
        <v>5.1548289641355993E-2</v>
      </c>
      <c r="AR69">
        <v>4.7350798494608271E-2</v>
      </c>
      <c r="AS69">
        <v>1.6992235252115096E-3</v>
      </c>
    </row>
    <row r="70" spans="11:45" x14ac:dyDescent="0.2">
      <c r="K70">
        <v>0.27999999999999903</v>
      </c>
      <c r="L70">
        <v>5.3955885563421034E-2</v>
      </c>
      <c r="M70">
        <v>5.0981915318595847E-2</v>
      </c>
      <c r="N70">
        <v>4.8041650961300593E-2</v>
      </c>
      <c r="O70">
        <v>4.5141679183852444E-2</v>
      </c>
      <c r="P70">
        <v>4.2290289747219115E-2</v>
      </c>
      <c r="Q70">
        <v>3.9498005635539381E-2</v>
      </c>
      <c r="R70">
        <v>3.6778291509828476E-2</v>
      </c>
      <c r="S70">
        <v>3.4148491013428518E-2</v>
      </c>
      <c r="T70">
        <v>3.1631038325068646E-2</v>
      </c>
      <c r="U70">
        <v>2.9254951161558622E-2</v>
      </c>
      <c r="V70">
        <v>2.7057497746906772E-2</v>
      </c>
      <c r="W70">
        <v>2.5085665948864421E-2</v>
      </c>
      <c r="X70">
        <v>2.3396570748458686E-2</v>
      </c>
      <c r="Y70">
        <v>2.205526795105232E-2</v>
      </c>
      <c r="Z70">
        <v>2.1128099794190339E-2</v>
      </c>
      <c r="AA70">
        <v>2.0670868205019354E-2</v>
      </c>
      <c r="AB70">
        <v>2.0714715028229566E-2</v>
      </c>
      <c r="AC70">
        <v>2.125653969882459E-2</v>
      </c>
      <c r="AD70">
        <v>2.2260008449012724E-2</v>
      </c>
      <c r="AE70">
        <v>2.3666472218055561E-2</v>
      </c>
      <c r="AF70">
        <v>2.5409098237862353E-2</v>
      </c>
      <c r="AG70">
        <v>2.7423877810954265E-2</v>
      </c>
      <c r="AH70">
        <v>2.9655392596194468E-2</v>
      </c>
      <c r="AI70">
        <v>3.2058415132288867E-2</v>
      </c>
      <c r="AJ70">
        <v>3.4597226571928791E-2</v>
      </c>
      <c r="AK70">
        <v>3.7244068347322773E-2</v>
      </c>
      <c r="AL70">
        <v>3.9977488697593176E-2</v>
      </c>
      <c r="AM70">
        <v>4.2780895420593941E-2</v>
      </c>
      <c r="AN70">
        <v>4.5641394132134791E-2</v>
      </c>
      <c r="AO70">
        <v>4.8548894308494885E-2</v>
      </c>
      <c r="AP70">
        <v>5.1495435270957859E-2</v>
      </c>
      <c r="AR70">
        <v>4.4998085217000466E-2</v>
      </c>
      <c r="AS70">
        <v>1.5221409898953887E-3</v>
      </c>
    </row>
    <row r="71" spans="11:45" x14ac:dyDescent="0.2">
      <c r="K71">
        <v>0.29999999999999899</v>
      </c>
      <c r="L71">
        <v>5.3811745648682976E-2</v>
      </c>
      <c r="M71">
        <v>5.0832920463272147E-2</v>
      </c>
      <c r="N71">
        <v>4.7887305946436573E-2</v>
      </c>
      <c r="O71">
        <v>4.4981426986094523E-2</v>
      </c>
      <c r="P71">
        <v>4.2123507825423942E-2</v>
      </c>
      <c r="Q71">
        <v>3.9324006462302608E-2</v>
      </c>
      <c r="R71">
        <v>3.6596331672605488E-2</v>
      </c>
      <c r="S71">
        <v>3.3957796372128528E-2</v>
      </c>
      <c r="T71">
        <v>3.1430857639046517E-2</v>
      </c>
      <c r="U71">
        <v>2.9044657414342801E-2</v>
      </c>
      <c r="V71">
        <v>2.6836763434187321E-2</v>
      </c>
      <c r="W71">
        <v>2.4854739062078177E-2</v>
      </c>
      <c r="X71">
        <v>2.3156655004143455E-2</v>
      </c>
      <c r="Y71">
        <v>2.1808936769895853E-2</v>
      </c>
      <c r="Z71">
        <v>2.0879540464319998E-2</v>
      </c>
      <c r="AA71">
        <v>2.0425648873034625E-2</v>
      </c>
      <c r="AB71">
        <v>2.0478903502953734E-2</v>
      </c>
      <c r="AC71">
        <v>2.1035452940156699E-2</v>
      </c>
      <c r="AD71">
        <v>2.2057232533281904E-2</v>
      </c>
      <c r="AE71">
        <v>2.3483593604311456E-2</v>
      </c>
      <c r="AF71">
        <v>2.5246054444865489E-2</v>
      </c>
      <c r="AG71">
        <v>2.7279549050694237E-2</v>
      </c>
      <c r="AH71">
        <v>2.9528135103673903E-2</v>
      </c>
      <c r="AI71">
        <v>3.1946426465379062E-2</v>
      </c>
      <c r="AJ71">
        <v>3.44987536011142E-2</v>
      </c>
      <c r="AK71">
        <v>3.7157506254704105E-2</v>
      </c>
      <c r="AL71">
        <v>3.9901415727036871E-2</v>
      </c>
      <c r="AM71">
        <v>4.2714074002496431E-2</v>
      </c>
      <c r="AN71">
        <v>4.5582756538795718E-2</v>
      </c>
      <c r="AO71">
        <v>4.8497522662245066E-2</v>
      </c>
      <c r="AP71">
        <v>5.1450540813389789E-2</v>
      </c>
      <c r="AR71">
        <v>4.2760772481695665E-2</v>
      </c>
      <c r="AS71">
        <v>1.345058454579268E-3</v>
      </c>
    </row>
    <row r="72" spans="11:45" x14ac:dyDescent="0.2">
      <c r="AR72">
        <v>4.0657915443142352E-2</v>
      </c>
      <c r="AS72">
        <v>1.1679759192631475E-3</v>
      </c>
    </row>
    <row r="73" spans="11:45" x14ac:dyDescent="0.2">
      <c r="AR73">
        <v>3.8711431748871677E-2</v>
      </c>
      <c r="AS73">
        <v>9.9089338394702637E-4</v>
      </c>
    </row>
    <row r="74" spans="11:45" x14ac:dyDescent="0.2">
      <c r="AR74">
        <v>3.6946045022828271E-2</v>
      </c>
      <c r="AS74">
        <v>8.1381084863090599E-4</v>
      </c>
    </row>
    <row r="75" spans="11:45" x14ac:dyDescent="0.2">
      <c r="AR75">
        <v>3.5388867918112653E-2</v>
      </c>
      <c r="AS75">
        <v>6.3672831331478507E-4</v>
      </c>
    </row>
    <row r="76" spans="11:45" x14ac:dyDescent="0.2">
      <c r="AR76">
        <v>3.4068462500351532E-2</v>
      </c>
      <c r="AS76">
        <v>4.5964577799866436E-4</v>
      </c>
    </row>
    <row r="77" spans="11:45" x14ac:dyDescent="0.2">
      <c r="AR77">
        <v>3.301325092543235E-2</v>
      </c>
      <c r="AS77">
        <v>2.825632426825436E-4</v>
      </c>
    </row>
    <row r="78" spans="11:45" x14ac:dyDescent="0.2">
      <c r="AR78">
        <v>3.2249275512927868E-2</v>
      </c>
      <c r="AS78">
        <v>1.0548070736643169E-4</v>
      </c>
    </row>
    <row r="79" spans="11:45" x14ac:dyDescent="0.2">
      <c r="AR79">
        <v>3.1797535131946338E-2</v>
      </c>
      <c r="AS79">
        <v>-7.1601827949689054E-5</v>
      </c>
    </row>
    <row r="80" spans="11:45" x14ac:dyDescent="0.2">
      <c r="AR80">
        <v>3.1671393160728818E-2</v>
      </c>
      <c r="AS80">
        <v>-2.4868436326580984E-4</v>
      </c>
    </row>
    <row r="81" spans="44:45" x14ac:dyDescent="0.2">
      <c r="AR81">
        <v>3.1874715432941902E-2</v>
      </c>
      <c r="AS81">
        <v>-4.257668985819306E-4</v>
      </c>
    </row>
    <row r="82" spans="44:45" x14ac:dyDescent="0.2">
      <c r="AR82">
        <v>3.2401300252243817E-2</v>
      </c>
      <c r="AS82">
        <v>-6.028494338980512E-4</v>
      </c>
    </row>
    <row r="83" spans="44:45" x14ac:dyDescent="0.2">
      <c r="AR83">
        <v>3.3235785940106059E-2</v>
      </c>
      <c r="AS83">
        <v>-7.7993196921417212E-4</v>
      </c>
    </row>
    <row r="84" spans="44:45" x14ac:dyDescent="0.2">
      <c r="AR84">
        <v>3.4355743493519601E-2</v>
      </c>
      <c r="AS84">
        <v>-9.5701450453029282E-4</v>
      </c>
    </row>
    <row r="85" spans="44:45" x14ac:dyDescent="0.2">
      <c r="AR85">
        <v>3.5734341883459149E-2</v>
      </c>
      <c r="AS85">
        <v>-1.1340970398464136E-3</v>
      </c>
    </row>
    <row r="86" spans="44:45" x14ac:dyDescent="0.2">
      <c r="AR86">
        <v>3.7342947173607449E-2</v>
      </c>
      <c r="AS86">
        <v>-1.3111795751625343E-3</v>
      </c>
    </row>
    <row r="87" spans="44:45" x14ac:dyDescent="0.2">
      <c r="AR87">
        <v>3.9153220203365105E-2</v>
      </c>
      <c r="AS87">
        <v>-1.4882621104786553E-3</v>
      </c>
    </row>
    <row r="88" spans="44:45" x14ac:dyDescent="0.2">
      <c r="AR88">
        <v>4.1138546837376548E-2</v>
      </c>
      <c r="AS88">
        <v>-1.6653446457947758E-3</v>
      </c>
    </row>
    <row r="89" spans="44:45" x14ac:dyDescent="0.2">
      <c r="AR89">
        <v>4.3274840894038151E-2</v>
      </c>
      <c r="AS89">
        <v>-1.8424271811108967E-3</v>
      </c>
    </row>
    <row r="90" spans="44:45" x14ac:dyDescent="0.2">
      <c r="AR90">
        <v>4.5540861957511024E-2</v>
      </c>
      <c r="AS90">
        <v>-2.0195097164270176E-3</v>
      </c>
    </row>
    <row r="91" spans="44:45" x14ac:dyDescent="0.2">
      <c r="AR91">
        <v>4.7918209442520905E-2</v>
      </c>
      <c r="AS91">
        <v>-2.1965922517431379E-3</v>
      </c>
    </row>
    <row r="92" spans="44:45" x14ac:dyDescent="0.2">
      <c r="AR92">
        <v>5.0391129372509509E-2</v>
      </c>
      <c r="AS92">
        <v>-2.373674787059259E-3</v>
      </c>
    </row>
    <row r="93" spans="44:45" x14ac:dyDescent="0.2">
      <c r="AR93">
        <v>5.2946231949140138E-2</v>
      </c>
      <c r="AS93">
        <v>-2.5507573223753793E-3</v>
      </c>
    </row>
    <row r="94" spans="44:45" x14ac:dyDescent="0.2">
      <c r="AR94">
        <v>5.5572182525997396E-2</v>
      </c>
      <c r="AS94">
        <v>-2.7278398576915E-3</v>
      </c>
    </row>
    <row r="95" spans="44:45" x14ac:dyDescent="0.2">
      <c r="AR95">
        <v>6.0037895099056229E-2</v>
      </c>
      <c r="AS95">
        <v>2.5891069340741456E-3</v>
      </c>
    </row>
    <row r="96" spans="44:45" x14ac:dyDescent="0.2">
      <c r="AR96">
        <v>5.7297556308403767E-2</v>
      </c>
      <c r="AS96">
        <v>2.4120243987580249E-3</v>
      </c>
    </row>
    <row r="97" spans="44:45" x14ac:dyDescent="0.2">
      <c r="AR97">
        <v>5.4611331285911592E-2</v>
      </c>
      <c r="AS97">
        <v>2.2349418634419042E-3</v>
      </c>
    </row>
    <row r="98" spans="44:45" x14ac:dyDescent="0.2">
      <c r="AR98">
        <v>5.1987608962520464E-2</v>
      </c>
      <c r="AS98">
        <v>2.057859328125783E-3</v>
      </c>
    </row>
    <row r="99" spans="44:45" x14ac:dyDescent="0.2">
      <c r="AR99">
        <v>4.9436341909325728E-2</v>
      </c>
      <c r="AS99">
        <v>1.8807767928096621E-3</v>
      </c>
    </row>
    <row r="100" spans="44:45" x14ac:dyDescent="0.2">
      <c r="AR100">
        <v>4.6969338424412997E-2</v>
      </c>
      <c r="AS100">
        <v>1.7036942574935416E-3</v>
      </c>
    </row>
    <row r="101" spans="44:45" x14ac:dyDescent="0.2">
      <c r="AR101">
        <v>4.4600583377280942E-2</v>
      </c>
      <c r="AS101">
        <v>1.5266117221774207E-3</v>
      </c>
    </row>
    <row r="102" spans="44:45" x14ac:dyDescent="0.2">
      <c r="AR102">
        <v>4.2346567252564929E-2</v>
      </c>
      <c r="AS102">
        <v>1.3495291868613E-3</v>
      </c>
    </row>
    <row r="103" spans="44:45" x14ac:dyDescent="0.2">
      <c r="AR103">
        <v>4.0226582174896323E-2</v>
      </c>
      <c r="AS103">
        <v>1.1724466515451793E-3</v>
      </c>
    </row>
    <row r="104" spans="44:45" x14ac:dyDescent="0.2">
      <c r="AR104">
        <v>3.8262912902533107E-2</v>
      </c>
      <c r="AS104">
        <v>9.9536411622905838E-4</v>
      </c>
    </row>
    <row r="105" spans="44:45" x14ac:dyDescent="0.2">
      <c r="AR105">
        <v>3.6480810421582577E-2</v>
      </c>
      <c r="AS105">
        <v>8.1828158091293789E-4</v>
      </c>
    </row>
    <row r="106" spans="44:45" x14ac:dyDescent="0.2">
      <c r="AR106">
        <v>3.4908093462111732E-2</v>
      </c>
      <c r="AS106">
        <v>6.4119904559681708E-4</v>
      </c>
    </row>
    <row r="107" spans="44:45" x14ac:dyDescent="0.2">
      <c r="AR107">
        <v>3.3574199680991262E-2</v>
      </c>
      <c r="AS107">
        <v>4.6411651028069626E-4</v>
      </c>
    </row>
    <row r="108" spans="44:45" x14ac:dyDescent="0.2">
      <c r="AR108">
        <v>3.2508540634640697E-2</v>
      </c>
      <c r="AS108">
        <v>2.8703397496457556E-4</v>
      </c>
    </row>
    <row r="109" spans="44:45" x14ac:dyDescent="0.2">
      <c r="AR109">
        <v>3.1738147064448566E-2</v>
      </c>
      <c r="AS109">
        <v>1.0995143964846366E-4</v>
      </c>
    </row>
    <row r="110" spans="44:45" x14ac:dyDescent="0.2">
      <c r="AR110">
        <v>3.1284839441661008E-2</v>
      </c>
      <c r="AS110">
        <v>-6.7131095667657096E-5</v>
      </c>
    </row>
    <row r="111" spans="44:45" x14ac:dyDescent="0.2">
      <c r="AR111">
        <v>3.1162458401286588E-2</v>
      </c>
      <c r="AS111">
        <v>-2.4421363098377788E-4</v>
      </c>
    </row>
    <row r="112" spans="44:45" x14ac:dyDescent="0.2">
      <c r="AR112">
        <v>3.1374876625236185E-2</v>
      </c>
      <c r="AS112">
        <v>-4.2129616629989859E-4</v>
      </c>
    </row>
    <row r="113" spans="44:45" x14ac:dyDescent="0.2">
      <c r="AR113">
        <v>3.1915409879886128E-2</v>
      </c>
      <c r="AS113">
        <v>-5.9837870161601929E-4</v>
      </c>
    </row>
    <row r="114" spans="44:45" x14ac:dyDescent="0.2">
      <c r="AR114">
        <v>3.2767824573336261E-2</v>
      </c>
      <c r="AS114">
        <v>-7.7546123693214011E-4</v>
      </c>
    </row>
    <row r="115" spans="44:45" x14ac:dyDescent="0.2">
      <c r="AR115">
        <v>3.3908608076006493E-2</v>
      </c>
      <c r="AS115">
        <v>-9.5254377224826081E-4</v>
      </c>
    </row>
    <row r="116" spans="44:45" x14ac:dyDescent="0.2">
      <c r="AR116">
        <v>3.5309821734907577E-2</v>
      </c>
      <c r="AS116">
        <v>-1.1296263075643816E-3</v>
      </c>
    </row>
    <row r="117" spans="44:45" x14ac:dyDescent="0.2">
      <c r="AR117">
        <v>3.6941842877219279E-2</v>
      </c>
      <c r="AS117">
        <v>-1.3067088428805023E-3</v>
      </c>
    </row>
    <row r="118" spans="44:45" x14ac:dyDescent="0.2">
      <c r="AR118">
        <v>3.8775539123200184E-2</v>
      </c>
      <c r="AS118">
        <v>-1.4837913781966233E-3</v>
      </c>
    </row>
    <row r="119" spans="44:45" x14ac:dyDescent="0.2">
      <c r="AR119">
        <v>4.0783716705812434E-2</v>
      </c>
      <c r="AS119">
        <v>-1.6608739135127437E-3</v>
      </c>
    </row>
    <row r="120" spans="44:45" x14ac:dyDescent="0.2">
      <c r="AR120">
        <v>4.294190374564881E-2</v>
      </c>
      <c r="AS120">
        <v>-1.8379564488288647E-3</v>
      </c>
    </row>
    <row r="121" spans="44:45" x14ac:dyDescent="0.2">
      <c r="AR121">
        <v>4.5228631210513508E-2</v>
      </c>
      <c r="AS121">
        <v>-2.0150389841449854E-3</v>
      </c>
    </row>
    <row r="122" spans="44:45" x14ac:dyDescent="0.2">
      <c r="AR122">
        <v>4.7625387137199965E-2</v>
      </c>
      <c r="AS122">
        <v>-2.1921215194611061E-3</v>
      </c>
    </row>
    <row r="123" spans="44:45" x14ac:dyDescent="0.2">
      <c r="AR123">
        <v>5.0116388074911908E-2</v>
      </c>
      <c r="AS123">
        <v>-2.3692040547772268E-3</v>
      </c>
    </row>
    <row r="124" spans="44:45" x14ac:dyDescent="0.2">
      <c r="AR124">
        <v>5.268826854526195E-2</v>
      </c>
      <c r="AS124">
        <v>-2.5462865900933475E-3</v>
      </c>
    </row>
    <row r="125" spans="44:45" x14ac:dyDescent="0.2">
      <c r="AR125">
        <v>5.5329751181760908E-2</v>
      </c>
      <c r="AS125">
        <v>-2.7233691254094682E-3</v>
      </c>
    </row>
    <row r="126" spans="44:45" x14ac:dyDescent="0.2">
      <c r="AR126">
        <v>5.9729184132108863E-2</v>
      </c>
      <c r="AS126">
        <v>2.5935776663561774E-3</v>
      </c>
    </row>
    <row r="127" spans="44:45" x14ac:dyDescent="0.2">
      <c r="AR127">
        <v>5.6977190861994029E-2</v>
      </c>
      <c r="AS127">
        <v>2.4164951310400571E-3</v>
      </c>
    </row>
    <row r="128" spans="44:45" x14ac:dyDescent="0.2">
      <c r="AR128">
        <v>5.4278463085060652E-2</v>
      </c>
      <c r="AS128">
        <v>2.239412595723936E-3</v>
      </c>
    </row>
    <row r="129" spans="44:45" x14ac:dyDescent="0.2">
      <c r="AR129">
        <v>5.1641352288102932E-2</v>
      </c>
      <c r="AS129">
        <v>2.0623300604078153E-3</v>
      </c>
    </row>
    <row r="130" spans="44:45" x14ac:dyDescent="0.2">
      <c r="AR130">
        <v>4.9075792528772089E-2</v>
      </c>
      <c r="AS130">
        <v>1.8852475250916941E-3</v>
      </c>
    </row>
    <row r="131" spans="44:45" x14ac:dyDescent="0.2">
      <c r="AR131">
        <v>4.6593604640826805E-2</v>
      </c>
      <c r="AS131">
        <v>1.7081649897755736E-3</v>
      </c>
    </row>
    <row r="132" spans="44:45" x14ac:dyDescent="0.2">
      <c r="AR132">
        <v>4.4208834065599792E-2</v>
      </c>
      <c r="AS132">
        <v>1.5310824544594527E-3</v>
      </c>
    </row>
    <row r="133" spans="44:45" x14ac:dyDescent="0.2">
      <c r="AR133">
        <v>4.1938102727344051E-2</v>
      </c>
      <c r="AS133">
        <v>1.3539999191433318E-3</v>
      </c>
    </row>
    <row r="134" spans="44:45" x14ac:dyDescent="0.2">
      <c r="AR134">
        <v>3.9800933986707594E-2</v>
      </c>
      <c r="AS134">
        <v>1.1769173838272113E-3</v>
      </c>
    </row>
    <row r="135" spans="44:45" x14ac:dyDescent="0.2">
      <c r="AR135">
        <v>3.7819977088500642E-2</v>
      </c>
      <c r="AS135">
        <v>9.9983484851109039E-4</v>
      </c>
    </row>
    <row r="136" spans="44:45" x14ac:dyDescent="0.2">
      <c r="AR136">
        <v>3.6021013626085507E-2</v>
      </c>
      <c r="AS136">
        <v>8.227523131949698E-4</v>
      </c>
    </row>
    <row r="137" spans="44:45" x14ac:dyDescent="0.2">
      <c r="AR137">
        <v>3.443258069390135E-2</v>
      </c>
      <c r="AS137">
        <v>6.4566977787884898E-4</v>
      </c>
    </row>
    <row r="138" spans="44:45" x14ac:dyDescent="0.2">
      <c r="AR138">
        <v>3.3085015320366472E-2</v>
      </c>
      <c r="AS138">
        <v>4.6858724256272828E-4</v>
      </c>
    </row>
    <row r="139" spans="44:45" x14ac:dyDescent="0.2">
      <c r="AR139">
        <v>3.2008753477310026E-2</v>
      </c>
      <c r="AS139">
        <v>2.9150470724660752E-4</v>
      </c>
    </row>
    <row r="140" spans="44:45" x14ac:dyDescent="0.2">
      <c r="AR140">
        <v>3.1231855444545664E-2</v>
      </c>
      <c r="AS140">
        <v>1.1442217193049559E-4</v>
      </c>
    </row>
    <row r="141" spans="44:45" x14ac:dyDescent="0.2">
      <c r="AR141">
        <v>3.0776999931153948E-2</v>
      </c>
      <c r="AS141">
        <v>-6.2660363385625139E-5</v>
      </c>
    </row>
    <row r="142" spans="44:45" x14ac:dyDescent="0.2">
      <c r="AR142">
        <v>3.0658523935945932E-2</v>
      </c>
      <c r="AS142">
        <v>-2.397428987017459E-4</v>
      </c>
    </row>
    <row r="143" spans="44:45" x14ac:dyDescent="0.2">
      <c r="AR143">
        <v>3.0880299383509134E-2</v>
      </c>
      <c r="AS143">
        <v>-4.1682543401786663E-4</v>
      </c>
    </row>
    <row r="144" spans="44:45" x14ac:dyDescent="0.2">
      <c r="AR144">
        <v>3.1435125656100148E-2</v>
      </c>
      <c r="AS144">
        <v>-5.9390796933398739E-4</v>
      </c>
    </row>
    <row r="145" spans="44:45" x14ac:dyDescent="0.2">
      <c r="AR145">
        <v>3.2305847689387802E-2</v>
      </c>
      <c r="AS145">
        <v>-7.709905046501082E-4</v>
      </c>
    </row>
    <row r="146" spans="44:45" x14ac:dyDescent="0.2">
      <c r="AR146">
        <v>3.346781886769E-2</v>
      </c>
      <c r="AS146">
        <v>-9.4807303996622902E-4</v>
      </c>
    </row>
    <row r="147" spans="44:45" x14ac:dyDescent="0.2">
      <c r="AR147">
        <v>3.4891953793196449E-2</v>
      </c>
      <c r="AS147">
        <v>-1.1251555752823496E-3</v>
      </c>
    </row>
    <row r="148" spans="44:45" x14ac:dyDescent="0.2">
      <c r="AR148">
        <v>3.6547618447281507E-2</v>
      </c>
      <c r="AS148">
        <v>-1.3022381105984703E-3</v>
      </c>
    </row>
    <row r="149" spans="44:45" x14ac:dyDescent="0.2">
      <c r="AR149">
        <v>3.840488020740402E-2</v>
      </c>
      <c r="AS149">
        <v>-1.4793206459145912E-3</v>
      </c>
    </row>
    <row r="150" spans="44:45" x14ac:dyDescent="0.2">
      <c r="AR150">
        <v>4.0435969980173597E-2</v>
      </c>
      <c r="AS150">
        <v>-1.6564031812307117E-3</v>
      </c>
    </row>
    <row r="151" spans="44:45" x14ac:dyDescent="0.2">
      <c r="AR151">
        <v>4.2616040966347565E-2</v>
      </c>
      <c r="AS151">
        <v>-1.8334857165468329E-3</v>
      </c>
    </row>
    <row r="152" spans="44:45" x14ac:dyDescent="0.2">
      <c r="AR152">
        <v>4.4923408841814234E-2</v>
      </c>
      <c r="AS152">
        <v>-2.0105682518629536E-3</v>
      </c>
    </row>
    <row r="153" spans="44:45" x14ac:dyDescent="0.2">
      <c r="AR153">
        <v>4.7339463571185916E-2</v>
      </c>
      <c r="AS153">
        <v>-2.1876507871790738E-3</v>
      </c>
    </row>
    <row r="154" spans="44:45" x14ac:dyDescent="0.2">
      <c r="AR154">
        <v>4.9848404140573552E-2</v>
      </c>
      <c r="AS154">
        <v>-2.364733322495195E-3</v>
      </c>
    </row>
    <row r="155" spans="44:45" x14ac:dyDescent="0.2">
      <c r="AR155">
        <v>5.2436899359437031E-2</v>
      </c>
      <c r="AS155">
        <v>-2.5418158578113157E-3</v>
      </c>
    </row>
    <row r="156" spans="44:45" x14ac:dyDescent="0.2">
      <c r="AR156">
        <v>5.5093737107015817E-2</v>
      </c>
      <c r="AS156">
        <v>-2.718898393127436E-3</v>
      </c>
    </row>
    <row r="157" spans="44:45" x14ac:dyDescent="0.2">
      <c r="AR157">
        <v>5.9425807808544319E-2</v>
      </c>
      <c r="AS157">
        <v>2.5980483986382096E-3</v>
      </c>
    </row>
    <row r="158" spans="44:45" x14ac:dyDescent="0.2">
      <c r="AR158">
        <v>5.6662290860695769E-2</v>
      </c>
      <c r="AS158">
        <v>2.4209658633220889E-3</v>
      </c>
    </row>
    <row r="159" spans="44:45" x14ac:dyDescent="0.2">
      <c r="AR159">
        <v>5.3951183605010875E-2</v>
      </c>
      <c r="AS159">
        <v>2.2438833280059682E-3</v>
      </c>
    </row>
    <row r="160" spans="44:45" x14ac:dyDescent="0.2">
      <c r="AR160">
        <v>5.130079584272125E-2</v>
      </c>
      <c r="AS160">
        <v>2.0668007926898471E-3</v>
      </c>
    </row>
    <row r="161" spans="44:45" x14ac:dyDescent="0.2">
      <c r="AR161">
        <v>4.8721037865864528E-2</v>
      </c>
      <c r="AS161">
        <v>1.8897182573737261E-3</v>
      </c>
    </row>
    <row r="162" spans="44:45" x14ac:dyDescent="0.2">
      <c r="AR162">
        <v>4.6223736783961002E-2</v>
      </c>
      <c r="AS162">
        <v>1.7126357220576057E-3</v>
      </c>
    </row>
    <row r="163" spans="44:45" x14ac:dyDescent="0.2">
      <c r="AR163">
        <v>4.3822991553912422E-2</v>
      </c>
      <c r="AS163">
        <v>1.5355531867414845E-3</v>
      </c>
    </row>
    <row r="164" spans="44:45" x14ac:dyDescent="0.2">
      <c r="AR164">
        <v>4.1535548270260216E-2</v>
      </c>
      <c r="AS164">
        <v>1.3584706514253638E-3</v>
      </c>
    </row>
    <row r="165" spans="44:45" x14ac:dyDescent="0.2">
      <c r="AR165">
        <v>3.9381155219259625E-2</v>
      </c>
      <c r="AS165">
        <v>1.1813881161092433E-3</v>
      </c>
    </row>
    <row r="166" spans="44:45" x14ac:dyDescent="0.2">
      <c r="AR166">
        <v>3.7382822761412603E-2</v>
      </c>
      <c r="AS166">
        <v>1.0043055807931224E-3</v>
      </c>
    </row>
    <row r="167" spans="44:45" x14ac:dyDescent="0.2">
      <c r="AR167">
        <v>3.5566865531480599E-2</v>
      </c>
      <c r="AS167">
        <v>8.2722304547700181E-4</v>
      </c>
    </row>
    <row r="168" spans="44:45" x14ac:dyDescent="0.2">
      <c r="AR168">
        <v>3.3962550622312265E-2</v>
      </c>
      <c r="AS168">
        <v>6.5014051016088089E-4</v>
      </c>
    </row>
    <row r="169" spans="44:45" x14ac:dyDescent="0.2">
      <c r="AR169">
        <v>3.2601138028100954E-2</v>
      </c>
      <c r="AS169">
        <v>4.7305797484476018E-4</v>
      </c>
    </row>
    <row r="170" spans="44:45" x14ac:dyDescent="0.2">
      <c r="AR170">
        <v>3.1514123684420019E-2</v>
      </c>
      <c r="AS170">
        <v>2.9597543952863942E-4</v>
      </c>
    </row>
    <row r="171" spans="44:45" x14ac:dyDescent="0.2">
      <c r="AR171">
        <v>3.0730639716446247E-2</v>
      </c>
      <c r="AS171">
        <v>1.1889290421252757E-4</v>
      </c>
    </row>
    <row r="172" spans="44:45" x14ac:dyDescent="0.2">
      <c r="AR172">
        <v>3.02742609832608E-2</v>
      </c>
      <c r="AS172">
        <v>-5.8189631103593194E-5</v>
      </c>
    </row>
    <row r="173" spans="44:45" x14ac:dyDescent="0.2">
      <c r="AR173">
        <v>3.0159840412353263E-2</v>
      </c>
      <c r="AS173">
        <v>-2.3527216641971397E-4</v>
      </c>
    </row>
    <row r="174" spans="44:45" x14ac:dyDescent="0.2">
      <c r="AR174">
        <v>3.0391240583926692E-2</v>
      </c>
      <c r="AS174">
        <v>-4.1235470173583473E-4</v>
      </c>
    </row>
    <row r="175" spans="44:45" x14ac:dyDescent="0.2">
      <c r="AR175">
        <v>3.0960708481510474E-2</v>
      </c>
      <c r="AS175">
        <v>-5.8943723705195538E-4</v>
      </c>
    </row>
    <row r="176" spans="44:45" x14ac:dyDescent="0.2">
      <c r="AR176">
        <v>3.1850115698997115E-2</v>
      </c>
      <c r="AS176">
        <v>-7.665197723680763E-4</v>
      </c>
    </row>
    <row r="177" spans="44:45" x14ac:dyDescent="0.2">
      <c r="AR177">
        <v>3.303362991433724E-2</v>
      </c>
      <c r="AS177">
        <v>-9.43602307684197E-4</v>
      </c>
    </row>
    <row r="178" spans="44:45" x14ac:dyDescent="0.2">
      <c r="AR178">
        <v>3.448097990937548E-2</v>
      </c>
      <c r="AS178">
        <v>-1.1206848430003176E-3</v>
      </c>
    </row>
    <row r="179" spans="44:45" x14ac:dyDescent="0.2">
      <c r="AR179">
        <v>3.616049889893088E-2</v>
      </c>
      <c r="AS179">
        <v>-1.2977673783164383E-3</v>
      </c>
    </row>
    <row r="180" spans="44:45" x14ac:dyDescent="0.2">
      <c r="AR180">
        <v>3.8041448719046876E-2</v>
      </c>
      <c r="AS180">
        <v>-1.4748499136325592E-3</v>
      </c>
    </row>
    <row r="181" spans="44:45" x14ac:dyDescent="0.2">
      <c r="AR181">
        <v>4.009549096324462E-2</v>
      </c>
      <c r="AS181">
        <v>-1.6519324489486799E-3</v>
      </c>
    </row>
    <row r="182" spans="44:45" x14ac:dyDescent="0.2">
      <c r="AR182">
        <v>4.2297416061017896E-2</v>
      </c>
      <c r="AS182">
        <v>-1.8290149842648009E-3</v>
      </c>
    </row>
    <row r="183" spans="44:45" x14ac:dyDescent="0.2">
      <c r="AR183">
        <v>4.4625338656525008E-2</v>
      </c>
      <c r="AS183">
        <v>-2.0060975195809213E-3</v>
      </c>
    </row>
    <row r="184" spans="44:45" x14ac:dyDescent="0.2">
      <c r="AR184">
        <v>4.7060564487644015E-2</v>
      </c>
      <c r="AS184">
        <v>-2.1831800548970421E-3</v>
      </c>
    </row>
    <row r="185" spans="44:45" x14ac:dyDescent="0.2">
      <c r="AR185">
        <v>4.958728712580799E-2</v>
      </c>
      <c r="AS185">
        <v>-2.3602625902131632E-3</v>
      </c>
    </row>
    <row r="186" spans="44:45" x14ac:dyDescent="0.2">
      <c r="AR186">
        <v>5.2192219669356957E-2</v>
      </c>
      <c r="AS186">
        <v>-2.5373451255292835E-3</v>
      </c>
    </row>
    <row r="187" spans="44:45" x14ac:dyDescent="0.2">
      <c r="AR187">
        <v>5.486422311895945E-2</v>
      </c>
      <c r="AS187">
        <v>-2.7144276608454042E-3</v>
      </c>
    </row>
    <row r="188" spans="44:45" x14ac:dyDescent="0.2">
      <c r="AR188">
        <v>5.9127848242239656E-2</v>
      </c>
      <c r="AS188">
        <v>2.602519130920241E-3</v>
      </c>
    </row>
    <row r="189" spans="44:45" x14ac:dyDescent="0.2">
      <c r="AR189">
        <v>5.6352947927226255E-2</v>
      </c>
      <c r="AS189">
        <v>2.4254365956041207E-3</v>
      </c>
    </row>
    <row r="190" spans="44:45" x14ac:dyDescent="0.2">
      <c r="AR190">
        <v>5.3629595162890155E-2</v>
      </c>
      <c r="AS190">
        <v>2.2483540602879996E-3</v>
      </c>
    </row>
    <row r="191" spans="44:45" x14ac:dyDescent="0.2">
      <c r="AR191">
        <v>5.0966053893721983E-2</v>
      </c>
      <c r="AS191">
        <v>2.0712715249718784E-3</v>
      </c>
    </row>
    <row r="192" spans="44:45" x14ac:dyDescent="0.2">
      <c r="AR192">
        <v>4.8372205413600093E-2</v>
      </c>
      <c r="AS192">
        <v>1.8941889896557582E-3</v>
      </c>
    </row>
    <row r="193" spans="44:45" x14ac:dyDescent="0.2">
      <c r="AR193">
        <v>4.5859876783183116E-2</v>
      </c>
      <c r="AS193">
        <v>1.7171064543396375E-3</v>
      </c>
    </row>
    <row r="194" spans="44:45" x14ac:dyDescent="0.2">
      <c r="AR194">
        <v>4.344321322689447E-2</v>
      </c>
      <c r="AS194">
        <v>1.5400239190235165E-3</v>
      </c>
    </row>
    <row r="195" spans="44:45" x14ac:dyDescent="0.2">
      <c r="AR195">
        <v>4.1139077375429378E-2</v>
      </c>
      <c r="AS195">
        <v>1.3629413837073958E-3</v>
      </c>
    </row>
    <row r="196" spans="44:45" x14ac:dyDescent="0.2">
      <c r="AR196">
        <v>3.8967435558953309E-2</v>
      </c>
      <c r="AS196">
        <v>1.1858588483912753E-3</v>
      </c>
    </row>
    <row r="197" spans="44:45" x14ac:dyDescent="0.2">
      <c r="AR197">
        <v>3.695165511443646E-2</v>
      </c>
      <c r="AS197">
        <v>1.0087763130751544E-3</v>
      </c>
    </row>
    <row r="198" spans="44:45" x14ac:dyDescent="0.2">
      <c r="AR198">
        <v>3.5118585282821448E-2</v>
      </c>
      <c r="AS198">
        <v>8.3169377775903371E-4</v>
      </c>
    </row>
    <row r="199" spans="44:45" x14ac:dyDescent="0.2">
      <c r="AR199">
        <v>3.3498234039316378E-2</v>
      </c>
      <c r="AS199">
        <v>6.546112424429129E-4</v>
      </c>
    </row>
    <row r="200" spans="44:45" x14ac:dyDescent="0.2">
      <c r="AR200">
        <v>3.2122807631872578E-2</v>
      </c>
      <c r="AS200">
        <v>4.7752870712679214E-4</v>
      </c>
    </row>
    <row r="201" spans="44:45" x14ac:dyDescent="0.2">
      <c r="AR201">
        <v>3.1024897928457949E-2</v>
      </c>
      <c r="AS201">
        <v>3.0044617181067138E-4</v>
      </c>
    </row>
    <row r="202" spans="44:45" x14ac:dyDescent="0.2">
      <c r="AR202">
        <v>3.023475231755083E-2</v>
      </c>
      <c r="AS202">
        <v>1.2336363649455951E-4</v>
      </c>
    </row>
    <row r="203" spans="44:45" x14ac:dyDescent="0.2">
      <c r="AR203">
        <v>2.9776880945651778E-2</v>
      </c>
      <c r="AS203">
        <v>-5.3718898821561236E-5</v>
      </c>
    </row>
    <row r="204" spans="44:45" x14ac:dyDescent="0.2">
      <c r="AR204">
        <v>2.9666672629650601E-2</v>
      </c>
      <c r="AS204">
        <v>-2.3080143413768201E-4</v>
      </c>
    </row>
    <row r="205" spans="44:45" x14ac:dyDescent="0.2">
      <c r="AR205">
        <v>2.9907970942437169E-2</v>
      </c>
      <c r="AS205">
        <v>-4.0788396945380271E-4</v>
      </c>
    </row>
    <row r="206" spans="44:45" x14ac:dyDescent="0.2">
      <c r="AR206">
        <v>3.0492432205187211E-2</v>
      </c>
      <c r="AS206">
        <v>-5.8496650476992347E-4</v>
      </c>
    </row>
    <row r="207" spans="44:45" x14ac:dyDescent="0.2">
      <c r="AR207">
        <v>3.140090050615868E-2</v>
      </c>
      <c r="AS207">
        <v>-7.6204904008604429E-4</v>
      </c>
    </row>
    <row r="208" spans="44:45" x14ac:dyDescent="0.2">
      <c r="AR208">
        <v>3.2606304886062767E-2</v>
      </c>
      <c r="AS208">
        <v>-9.3913157540216499E-4</v>
      </c>
    </row>
    <row r="209" spans="44:45" x14ac:dyDescent="0.2">
      <c r="AR209">
        <v>3.4077149513472377E-2</v>
      </c>
      <c r="AS209">
        <v>-1.1162141107182856E-3</v>
      </c>
    </row>
    <row r="210" spans="44:45" x14ac:dyDescent="0.2">
      <c r="AR210">
        <v>3.5780714840814555E-2</v>
      </c>
      <c r="AS210">
        <v>-1.2932966460344063E-3</v>
      </c>
    </row>
    <row r="211" spans="44:45" x14ac:dyDescent="0.2">
      <c r="AR211">
        <v>3.7685453758596159E-2</v>
      </c>
      <c r="AS211">
        <v>-1.4703791813505274E-3</v>
      </c>
    </row>
    <row r="212" spans="44:45" x14ac:dyDescent="0.2">
      <c r="AR212">
        <v>3.9762466351804152E-2</v>
      </c>
      <c r="AS212">
        <v>-1.6474617166666479E-3</v>
      </c>
    </row>
    <row r="213" spans="44:45" x14ac:dyDescent="0.2">
      <c r="AR213">
        <v>4.198619381035737E-2</v>
      </c>
      <c r="AS213">
        <v>-1.8245442519827688E-3</v>
      </c>
    </row>
    <row r="214" spans="44:45" x14ac:dyDescent="0.2">
      <c r="AR214">
        <v>4.4334564911577654E-2</v>
      </c>
      <c r="AS214">
        <v>-2.0016267872988895E-3</v>
      </c>
    </row>
    <row r="215" spans="44:45" x14ac:dyDescent="0.2">
      <c r="AR215">
        <v>4.6788815501488799E-2</v>
      </c>
      <c r="AS215">
        <v>-2.1787093226150107E-3</v>
      </c>
    </row>
    <row r="216" spans="44:45" x14ac:dyDescent="0.2">
      <c r="AR216">
        <v>4.9333146069162163E-2</v>
      </c>
      <c r="AS216">
        <v>-2.3557918579311314E-3</v>
      </c>
    </row>
    <row r="217" spans="44:45" x14ac:dyDescent="0.2">
      <c r="AR217">
        <v>5.1954323987957823E-2</v>
      </c>
      <c r="AS217">
        <v>-2.5328743932472521E-3</v>
      </c>
    </row>
    <row r="218" spans="44:45" x14ac:dyDescent="0.2">
      <c r="AR218">
        <v>5.4641291126084804E-2</v>
      </c>
      <c r="AS218">
        <v>-2.7099569285633724E-3</v>
      </c>
    </row>
    <row r="219" spans="44:45" x14ac:dyDescent="0.2">
      <c r="AR219">
        <v>5.8835387729369082E-2</v>
      </c>
      <c r="AS219">
        <v>2.6069898632022732E-3</v>
      </c>
    </row>
    <row r="220" spans="44:45" x14ac:dyDescent="0.2">
      <c r="AR220">
        <v>5.6049254072144936E-2</v>
      </c>
      <c r="AS220">
        <v>2.4299073278861525E-3</v>
      </c>
    </row>
    <row r="221" spans="44:45" x14ac:dyDescent="0.2">
      <c r="AR221">
        <v>5.3313800743690964E-2</v>
      </c>
      <c r="AS221">
        <v>2.2528247925700314E-3</v>
      </c>
    </row>
    <row r="222" spans="44:45" x14ac:dyDescent="0.2">
      <c r="AR222">
        <v>5.0637241752958626E-2</v>
      </c>
      <c r="AS222">
        <v>2.0757422572539107E-3</v>
      </c>
    </row>
    <row r="223" spans="44:45" x14ac:dyDescent="0.2">
      <c r="AR223">
        <v>4.8029424209255683E-2</v>
      </c>
      <c r="AS223">
        <v>1.89865972193779E-3</v>
      </c>
    </row>
    <row r="224" spans="44:45" x14ac:dyDescent="0.2">
      <c r="AR224">
        <v>4.5502168764940884E-2</v>
      </c>
      <c r="AS224">
        <v>1.7215771866216695E-3</v>
      </c>
    </row>
    <row r="225" spans="44:45" x14ac:dyDescent="0.2">
      <c r="AR225">
        <v>4.3069659502591298E-2</v>
      </c>
      <c r="AS225">
        <v>1.5444946513055485E-3</v>
      </c>
    </row>
    <row r="226" spans="44:45" x14ac:dyDescent="0.2">
      <c r="AR226">
        <v>4.0748867615439451E-2</v>
      </c>
      <c r="AS226">
        <v>1.3674121159894278E-3</v>
      </c>
    </row>
    <row r="227" spans="44:45" x14ac:dyDescent="0.2">
      <c r="AR227">
        <v>3.8559970035355752E-2</v>
      </c>
      <c r="AS227">
        <v>1.1903295806733074E-3</v>
      </c>
    </row>
    <row r="228" spans="44:45" x14ac:dyDescent="0.2">
      <c r="AR228">
        <v>3.6526686151770231E-2</v>
      </c>
      <c r="AS228">
        <v>1.0132470453571864E-3</v>
      </c>
    </row>
    <row r="229" spans="44:45" x14ac:dyDescent="0.2">
      <c r="AR229">
        <v>3.4676400451139379E-2</v>
      </c>
      <c r="AS229">
        <v>8.3616451004106572E-4</v>
      </c>
    </row>
    <row r="230" spans="44:45" x14ac:dyDescent="0.2">
      <c r="AR230">
        <v>3.3039871824525904E-2</v>
      </c>
      <c r="AS230">
        <v>6.5908197472494491E-4</v>
      </c>
    </row>
    <row r="231" spans="44:45" x14ac:dyDescent="0.2">
      <c r="AR231">
        <v>3.1650275623284665E-2</v>
      </c>
      <c r="AS231">
        <v>4.819994394088241E-4</v>
      </c>
    </row>
    <row r="232" spans="44:45" x14ac:dyDescent="0.2">
      <c r="AR232">
        <v>3.0541335903888377E-2</v>
      </c>
      <c r="AS232">
        <v>3.0491690409270334E-4</v>
      </c>
    </row>
    <row r="233" spans="44:45" x14ac:dyDescent="0.2">
      <c r="AR233">
        <v>2.9744459744192073E-2</v>
      </c>
      <c r="AS233">
        <v>1.2783436877659147E-4</v>
      </c>
    </row>
    <row r="234" spans="44:45" x14ac:dyDescent="0.2">
      <c r="AR234">
        <v>2.9285132867532759E-2</v>
      </c>
      <c r="AS234">
        <v>-4.9248166539529285E-5</v>
      </c>
    </row>
    <row r="235" spans="44:45" x14ac:dyDescent="0.2">
      <c r="AR235">
        <v>2.917930025856854E-2</v>
      </c>
      <c r="AS235">
        <v>-2.2633070185565005E-4</v>
      </c>
    </row>
    <row r="236" spans="44:45" x14ac:dyDescent="0.2">
      <c r="AR236">
        <v>2.9430775643971986E-2</v>
      </c>
      <c r="AS236">
        <v>-4.0341323717177081E-4</v>
      </c>
    </row>
    <row r="237" spans="44:45" x14ac:dyDescent="0.2">
      <c r="AR237">
        <v>3.0030584099337752E-2</v>
      </c>
      <c r="AS237">
        <v>-5.8049577248789146E-4</v>
      </c>
    </row>
    <row r="238" spans="44:45" x14ac:dyDescent="0.2">
      <c r="AR238">
        <v>3.0958485793146376E-2</v>
      </c>
      <c r="AS238">
        <v>-7.5757830780401228E-4</v>
      </c>
    </row>
    <row r="239" spans="44:45" x14ac:dyDescent="0.2">
      <c r="AR239">
        <v>3.2186117174598121E-2</v>
      </c>
      <c r="AS239">
        <v>-9.3466084312013309E-4</v>
      </c>
    </row>
    <row r="240" spans="44:45" x14ac:dyDescent="0.2">
      <c r="AR240">
        <v>3.3680719556816785E-2</v>
      </c>
      <c r="AS240">
        <v>-1.1117433784362536E-3</v>
      </c>
    </row>
    <row r="241" spans="44:45" x14ac:dyDescent="0.2">
      <c r="AR241">
        <v>3.5408502310439328E-2</v>
      </c>
      <c r="AS241">
        <v>-1.2888259137523745E-3</v>
      </c>
    </row>
    <row r="242" spans="44:45" x14ac:dyDescent="0.2">
      <c r="AR242">
        <v>3.733710803995538E-2</v>
      </c>
      <c r="AS242">
        <v>-1.4659084490684954E-3</v>
      </c>
    </row>
    <row r="243" spans="44:45" x14ac:dyDescent="0.2">
      <c r="AR243">
        <v>3.9437084991435147E-2</v>
      </c>
      <c r="AS243">
        <v>-1.6429909843846159E-3</v>
      </c>
    </row>
    <row r="244" spans="44:45" x14ac:dyDescent="0.2">
      <c r="AR244">
        <v>4.1682540030227574E-2</v>
      </c>
      <c r="AS244">
        <v>-1.8200735197007368E-3</v>
      </c>
    </row>
    <row r="245" spans="44:45" x14ac:dyDescent="0.2">
      <c r="AR245">
        <v>4.405123209442427E-2</v>
      </c>
      <c r="AS245">
        <v>-1.9971560550168578E-3</v>
      </c>
    </row>
    <row r="246" spans="44:45" x14ac:dyDescent="0.2">
      <c r="AR246">
        <v>4.6524341904186153E-2</v>
      </c>
      <c r="AS246">
        <v>-2.1742385903329785E-3</v>
      </c>
    </row>
    <row r="247" spans="44:45" x14ac:dyDescent="0.2">
      <c r="AR247">
        <v>4.9086089323899643E-2</v>
      </c>
      <c r="AS247">
        <v>-2.3513211256490996E-3</v>
      </c>
    </row>
    <row r="248" spans="44:45" x14ac:dyDescent="0.2">
      <c r="AR248">
        <v>5.1723305922239379E-2</v>
      </c>
      <c r="AS248">
        <v>-2.5284036609652199E-3</v>
      </c>
    </row>
    <row r="249" spans="44:45" x14ac:dyDescent="0.2">
      <c r="AR249">
        <v>5.4425022010585702E-2</v>
      </c>
      <c r="AS249">
        <v>-2.7054861962813406E-3</v>
      </c>
    </row>
    <row r="250" spans="44:45" x14ac:dyDescent="0.2">
      <c r="AR250">
        <v>5.8548508676324634E-2</v>
      </c>
      <c r="AS250">
        <v>2.611460595484305E-3</v>
      </c>
    </row>
    <row r="251" spans="44:45" x14ac:dyDescent="0.2">
      <c r="AR251">
        <v>5.5751301612138461E-2</v>
      </c>
      <c r="AS251">
        <v>2.4343780601681843E-3</v>
      </c>
    </row>
    <row r="252" spans="44:45" x14ac:dyDescent="0.2">
      <c r="AR252">
        <v>5.3003903908948741E-2</v>
      </c>
      <c r="AS252">
        <v>2.2572955248520636E-3</v>
      </c>
    </row>
    <row r="253" spans="44:45" x14ac:dyDescent="0.2">
      <c r="AR253">
        <v>5.0314475676945837E-2</v>
      </c>
      <c r="AS253">
        <v>2.0802129895359425E-3</v>
      </c>
    </row>
    <row r="254" spans="44:45" x14ac:dyDescent="0.2">
      <c r="AR254">
        <v>4.7692824728866129E-2</v>
      </c>
      <c r="AS254">
        <v>1.903130454219822E-3</v>
      </c>
    </row>
    <row r="255" spans="44:45" x14ac:dyDescent="0.2">
      <c r="AR255">
        <v>4.5150758947178064E-2</v>
      </c>
      <c r="AS255">
        <v>1.7260479189037015E-3</v>
      </c>
    </row>
    <row r="256" spans="44:45" x14ac:dyDescent="0.2">
      <c r="AR256">
        <v>4.2702493736425769E-2</v>
      </c>
      <c r="AS256">
        <v>1.5489653835875806E-3</v>
      </c>
    </row>
    <row r="257" spans="44:45" x14ac:dyDescent="0.2">
      <c r="AR257">
        <v>4.0365100570025216E-2</v>
      </c>
      <c r="AS257">
        <v>1.3718828482714599E-3</v>
      </c>
    </row>
    <row r="258" spans="44:45" x14ac:dyDescent="0.2">
      <c r="AR258">
        <v>3.8158958996053399E-2</v>
      </c>
      <c r="AS258">
        <v>1.1948003129553394E-3</v>
      </c>
    </row>
    <row r="259" spans="44:45" x14ac:dyDescent="0.2">
      <c r="AR259">
        <v>3.6108134737371636E-2</v>
      </c>
      <c r="AS259">
        <v>1.0177177776392182E-3</v>
      </c>
    </row>
    <row r="260" spans="44:45" x14ac:dyDescent="0.2">
      <c r="AR260">
        <v>3.4240547187177804E-2</v>
      </c>
      <c r="AS260">
        <v>8.4063524232309763E-4</v>
      </c>
    </row>
    <row r="261" spans="44:45" x14ac:dyDescent="0.2">
      <c r="AR261">
        <v>3.2587715232246371E-2</v>
      </c>
      <c r="AS261">
        <v>6.6355270700697671E-4</v>
      </c>
    </row>
    <row r="262" spans="44:45" x14ac:dyDescent="0.2">
      <c r="AR262">
        <v>3.118380559447612E-2</v>
      </c>
      <c r="AS262">
        <v>4.86470171690856E-4</v>
      </c>
    </row>
    <row r="263" spans="44:45" x14ac:dyDescent="0.2">
      <c r="AR263">
        <v>3.0063710908097226E-2</v>
      </c>
      <c r="AS263">
        <v>3.0938763637473529E-4</v>
      </c>
    </row>
    <row r="264" spans="44:45" x14ac:dyDescent="0.2">
      <c r="AR264">
        <v>2.9260043244887311E-2</v>
      </c>
      <c r="AS264">
        <v>1.3230510105862343E-4</v>
      </c>
    </row>
    <row r="265" spans="44:45" x14ac:dyDescent="0.2">
      <c r="AR265">
        <v>2.8799305247439056E-2</v>
      </c>
      <c r="AS265">
        <v>-4.4777434257497334E-5</v>
      </c>
    </row>
    <row r="266" spans="44:45" x14ac:dyDescent="0.2">
      <c r="AR266">
        <v>2.869801856737032E-2</v>
      </c>
      <c r="AS266">
        <v>-2.2185996957361809E-4</v>
      </c>
    </row>
    <row r="267" spans="44:45" x14ac:dyDescent="0.2">
      <c r="AR267">
        <v>2.8959954964857225E-2</v>
      </c>
      <c r="AS267">
        <v>-3.9894250488973885E-4</v>
      </c>
    </row>
    <row r="268" spans="44:45" x14ac:dyDescent="0.2">
      <c r="AR268">
        <v>2.9575465310886517E-2</v>
      </c>
      <c r="AS268">
        <v>-5.7602504020585956E-4</v>
      </c>
    </row>
    <row r="269" spans="44:45" x14ac:dyDescent="0.2">
      <c r="AR269">
        <v>3.0523167267828066E-2</v>
      </c>
      <c r="AS269">
        <v>-7.5310757552198048E-4</v>
      </c>
    </row>
    <row r="270" spans="44:45" x14ac:dyDescent="0.2">
      <c r="AR270">
        <v>3.1773349944247867E-2</v>
      </c>
      <c r="AS270">
        <v>-9.3019011083810119E-4</v>
      </c>
    </row>
    <row r="271" spans="44:45" x14ac:dyDescent="0.2">
      <c r="AR271">
        <v>3.3291954406656978E-2</v>
      </c>
      <c r="AS271">
        <v>-1.1072726461542218E-3</v>
      </c>
    </row>
    <row r="272" spans="44:45" x14ac:dyDescent="0.2">
      <c r="AR272">
        <v>3.5044102566133488E-2</v>
      </c>
      <c r="AS272">
        <v>-1.2843551814703425E-3</v>
      </c>
    </row>
    <row r="273" spans="44:45" x14ac:dyDescent="0.2">
      <c r="AR273">
        <v>3.6996627630527447E-2</v>
      </c>
      <c r="AS273">
        <v>-1.4614377167864634E-3</v>
      </c>
    </row>
    <row r="274" spans="44:45" x14ac:dyDescent="0.2">
      <c r="AR274">
        <v>3.9119537603524865E-2</v>
      </c>
      <c r="AS274">
        <v>-1.6385202521025839E-3</v>
      </c>
    </row>
    <row r="275" spans="44:45" x14ac:dyDescent="0.2">
      <c r="AR275">
        <v>4.1386621310645202E-2</v>
      </c>
      <c r="AS275">
        <v>-1.8156027874187048E-3</v>
      </c>
    </row>
    <row r="276" spans="44:45" x14ac:dyDescent="0.2">
      <c r="AR276">
        <v>4.3775484687475164E-2</v>
      </c>
      <c r="AS276">
        <v>-1.9926853227348255E-3</v>
      </c>
    </row>
    <row r="277" spans="44:45" x14ac:dyDescent="0.2">
      <c r="AR277">
        <v>4.6267268458938221E-2</v>
      </c>
      <c r="AS277">
        <v>-2.1697678580509467E-3</v>
      </c>
    </row>
    <row r="278" spans="44:45" x14ac:dyDescent="0.2">
      <c r="AR278">
        <v>4.884622438423479E-2</v>
      </c>
      <c r="AS278">
        <v>-2.3468503933670674E-3</v>
      </c>
    </row>
    <row r="279" spans="44:45" x14ac:dyDescent="0.2">
      <c r="AR279">
        <v>5.1499258028189422E-2</v>
      </c>
      <c r="AS279">
        <v>-2.5239329286831881E-3</v>
      </c>
    </row>
    <row r="280" spans="44:45" x14ac:dyDescent="0.2">
      <c r="AR280">
        <v>5.4215495508466188E-2</v>
      </c>
      <c r="AS280">
        <v>-2.7010154639993088E-3</v>
      </c>
    </row>
    <row r="281" spans="44:45" x14ac:dyDescent="0.2">
      <c r="AR281">
        <v>5.826729352412658E-2</v>
      </c>
      <c r="AS281">
        <v>2.6159313277663368E-3</v>
      </c>
    </row>
    <row r="282" spans="44:45" x14ac:dyDescent="0.2">
      <c r="AR282">
        <v>5.5459183083597666E-2</v>
      </c>
      <c r="AS282">
        <v>2.4388487924502165E-3</v>
      </c>
    </row>
    <row r="283" spans="44:45" x14ac:dyDescent="0.2">
      <c r="AR283">
        <v>5.270000869913357E-2</v>
      </c>
      <c r="AS283">
        <v>2.2617662571340954E-3</v>
      </c>
    </row>
    <row r="284" spans="44:45" x14ac:dyDescent="0.2">
      <c r="AR284">
        <v>4.9997872758678119E-2</v>
      </c>
      <c r="AS284">
        <v>2.0846837218179747E-3</v>
      </c>
    </row>
    <row r="285" spans="44:45" x14ac:dyDescent="0.2">
      <c r="AR285">
        <v>4.7362538770769541E-2</v>
      </c>
      <c r="AS285">
        <v>1.907601186501854E-3</v>
      </c>
    </row>
    <row r="286" spans="44:45" x14ac:dyDescent="0.2">
      <c r="AR286">
        <v>4.4805795519640021E-2</v>
      </c>
      <c r="AS286">
        <v>1.7305186511857335E-3</v>
      </c>
    </row>
    <row r="287" spans="44:45" x14ac:dyDescent="0.2">
      <c r="AR287">
        <v>4.2341882107417073E-2</v>
      </c>
      <c r="AS287">
        <v>1.5534361158696126E-3</v>
      </c>
    </row>
    <row r="288" spans="44:45" x14ac:dyDescent="0.2">
      <c r="AR288">
        <v>3.9987961733057673E-2</v>
      </c>
      <c r="AS288">
        <v>1.3763535805534919E-3</v>
      </c>
    </row>
    <row r="289" spans="44:45" x14ac:dyDescent="0.2">
      <c r="AR289">
        <v>3.7764608056300941E-2</v>
      </c>
      <c r="AS289">
        <v>1.1992710452373712E-3</v>
      </c>
    </row>
    <row r="290" spans="44:45" x14ac:dyDescent="0.2">
      <c r="AR290">
        <v>3.5696226616311146E-2</v>
      </c>
      <c r="AS290">
        <v>1.0221885099212502E-3</v>
      </c>
    </row>
    <row r="291" spans="44:45" x14ac:dyDescent="0.2">
      <c r="AR291">
        <v>3.3811270348147474E-2</v>
      </c>
      <c r="AS291">
        <v>8.4510597460512953E-4</v>
      </c>
    </row>
    <row r="292" spans="44:45" x14ac:dyDescent="0.2">
      <c r="AR292">
        <v>3.2142026155540647E-2</v>
      </c>
      <c r="AS292">
        <v>6.6802343928900872E-4</v>
      </c>
    </row>
    <row r="293" spans="44:45" x14ac:dyDescent="0.2">
      <c r="AR293">
        <v>3.0723673659360257E-2</v>
      </c>
      <c r="AS293">
        <v>4.9094090397288801E-4</v>
      </c>
    </row>
    <row r="294" spans="44:45" x14ac:dyDescent="0.2">
      <c r="AR294">
        <v>2.9592310416487282E-2</v>
      </c>
      <c r="AS294">
        <v>3.1385836865676725E-4</v>
      </c>
    </row>
    <row r="295" spans="44:45" x14ac:dyDescent="0.2">
      <c r="AR295">
        <v>2.8781799515667603E-2</v>
      </c>
      <c r="AS295">
        <v>1.3677583334065536E-4</v>
      </c>
    </row>
    <row r="296" spans="44:45" x14ac:dyDescent="0.2">
      <c r="AR296">
        <v>2.8319702785338147E-2</v>
      </c>
      <c r="AS296">
        <v>-4.0306701975465376E-5</v>
      </c>
    </row>
    <row r="297" spans="44:45" x14ac:dyDescent="0.2">
      <c r="AR297">
        <v>2.8223139146012099E-2</v>
      </c>
      <c r="AS297">
        <v>-2.1738923729158614E-4</v>
      </c>
    </row>
    <row r="298" spans="44:45" x14ac:dyDescent="0.2">
      <c r="AR298">
        <v>2.8495824879724015E-2</v>
      </c>
      <c r="AS298">
        <v>-3.9447177260770684E-4</v>
      </c>
    </row>
    <row r="299" spans="44:45" x14ac:dyDescent="0.2">
      <c r="AR299">
        <v>2.9127391280581606E-2</v>
      </c>
      <c r="AS299">
        <v>-5.7155430792382765E-4</v>
      </c>
    </row>
    <row r="300" spans="44:45" x14ac:dyDescent="0.2">
      <c r="AR300">
        <v>3.009525286426035E-2</v>
      </c>
      <c r="AS300">
        <v>-7.4863684323994847E-4</v>
      </c>
    </row>
    <row r="301" spans="44:45" x14ac:dyDescent="0.2">
      <c r="AR301">
        <v>3.1368296128908665E-2</v>
      </c>
      <c r="AS301">
        <v>-9.2571937855606917E-4</v>
      </c>
    </row>
    <row r="302" spans="44:45" x14ac:dyDescent="0.2">
      <c r="AR302">
        <v>3.2911125687425338E-2</v>
      </c>
      <c r="AS302">
        <v>-1.1028019138721898E-3</v>
      </c>
    </row>
    <row r="303" spans="44:45" x14ac:dyDescent="0.2">
      <c r="AR303">
        <v>3.4687761831971455E-2</v>
      </c>
      <c r="AS303">
        <v>-1.2798844491883105E-3</v>
      </c>
    </row>
    <row r="304" spans="44:45" x14ac:dyDescent="0.2">
      <c r="AR304">
        <v>3.666423165327632E-2</v>
      </c>
      <c r="AS304">
        <v>-1.4569669845044314E-3</v>
      </c>
    </row>
    <row r="305" spans="44:45" x14ac:dyDescent="0.2">
      <c r="AR305">
        <v>3.8810016483558835E-2</v>
      </c>
      <c r="AS305">
        <v>-1.6340495198205519E-3</v>
      </c>
    </row>
    <row r="306" spans="44:45" x14ac:dyDescent="0.2">
      <c r="AR306">
        <v>4.1098604734206901E-2</v>
      </c>
      <c r="AS306">
        <v>-1.8111320551366728E-3</v>
      </c>
    </row>
    <row r="307" spans="44:45" x14ac:dyDescent="0.2">
      <c r="AR307">
        <v>4.3507466918432582E-2</v>
      </c>
      <c r="AS307">
        <v>-1.9882145904527937E-3</v>
      </c>
    </row>
    <row r="308" spans="44:45" x14ac:dyDescent="0.2">
      <c r="AR308">
        <v>4.6017719186568801E-2</v>
      </c>
      <c r="AS308">
        <v>-2.1652971257689144E-3</v>
      </c>
    </row>
    <row r="309" spans="44:45" x14ac:dyDescent="0.2">
      <c r="AR309">
        <v>4.8613657705677389E-2</v>
      </c>
      <c r="AS309">
        <v>-2.3423796610850356E-3</v>
      </c>
    </row>
    <row r="310" spans="44:45" x14ac:dyDescent="0.2">
      <c r="AR310">
        <v>5.1282271662155307E-2</v>
      </c>
      <c r="AS310">
        <v>-2.5194621964011563E-3</v>
      </c>
    </row>
    <row r="311" spans="44:45" x14ac:dyDescent="0.2">
      <c r="AR311">
        <v>5.4012790087653237E-2</v>
      </c>
      <c r="AS311">
        <v>-2.6965447317172766E-3</v>
      </c>
    </row>
    <row r="312" spans="44:45" x14ac:dyDescent="0.2">
      <c r="AR312">
        <v>5.7991824669347838E-2</v>
      </c>
      <c r="AS312">
        <v>2.620402060048369E-3</v>
      </c>
    </row>
    <row r="313" spans="44:45" x14ac:dyDescent="0.2">
      <c r="AR313">
        <v>5.5172991151477127E-2</v>
      </c>
      <c r="AS313">
        <v>2.4433195247322483E-3</v>
      </c>
    </row>
    <row r="314" spans="44:45" x14ac:dyDescent="0.2">
      <c r="AR314">
        <v>5.2402219529682444E-2</v>
      </c>
      <c r="AS314">
        <v>2.2662369894161276E-3</v>
      </c>
    </row>
    <row r="315" spans="44:45" x14ac:dyDescent="0.2">
      <c r="AR315">
        <v>4.9687550810928044E-2</v>
      </c>
      <c r="AS315">
        <v>2.0891544541000065E-3</v>
      </c>
    </row>
    <row r="316" spans="44:45" x14ac:dyDescent="0.2">
      <c r="AR316">
        <v>4.703869932784651E-2</v>
      </c>
      <c r="AS316">
        <v>1.912071918783886E-3</v>
      </c>
    </row>
    <row r="317" spans="44:45" x14ac:dyDescent="0.2">
      <c r="AR317">
        <v>4.4467428509393309E-2</v>
      </c>
      <c r="AS317">
        <v>1.7349893834677655E-3</v>
      </c>
    </row>
    <row r="318" spans="44:45" x14ac:dyDescent="0.2">
      <c r="AR318">
        <v>4.1987993485470658E-2</v>
      </c>
      <c r="AS318">
        <v>1.5579068481516446E-3</v>
      </c>
    </row>
    <row r="319" spans="44:45" x14ac:dyDescent="0.2">
      <c r="AR319">
        <v>3.9617640396032119E-2</v>
      </c>
      <c r="AS319">
        <v>1.3808243128355237E-3</v>
      </c>
    </row>
    <row r="320" spans="44:45" x14ac:dyDescent="0.2">
      <c r="AR320">
        <v>3.7377128020731752E-2</v>
      </c>
      <c r="AS320">
        <v>1.2037417775194032E-3</v>
      </c>
    </row>
    <row r="321" spans="44:45" x14ac:dyDescent="0.2">
      <c r="AR321">
        <v>3.5291194404872321E-2</v>
      </c>
      <c r="AS321">
        <v>1.0266592422032822E-3</v>
      </c>
    </row>
    <row r="322" spans="44:45" x14ac:dyDescent="0.2">
      <c r="AR322">
        <v>3.3388823592368125E-2</v>
      </c>
      <c r="AS322">
        <v>8.4957670688716154E-4</v>
      </c>
    </row>
    <row r="323" spans="44:45" x14ac:dyDescent="0.2">
      <c r="AR323">
        <v>3.1703077360999692E-2</v>
      </c>
      <c r="AS323">
        <v>6.7249417157104073E-4</v>
      </c>
    </row>
    <row r="324" spans="44:45" x14ac:dyDescent="0.2">
      <c r="AR324">
        <v>3.0270168852324725E-2</v>
      </c>
      <c r="AS324">
        <v>4.9541163625491992E-4</v>
      </c>
    </row>
    <row r="325" spans="44:45" x14ac:dyDescent="0.2">
      <c r="AR325">
        <v>2.9127436644072108E-2</v>
      </c>
      <c r="AS325">
        <v>3.1832910093879921E-4</v>
      </c>
    </row>
    <row r="326" spans="44:45" x14ac:dyDescent="0.2">
      <c r="AR326">
        <v>2.8310041389515615E-2</v>
      </c>
      <c r="AS326">
        <v>1.4124656562268731E-4</v>
      </c>
    </row>
    <row r="327" spans="44:45" x14ac:dyDescent="0.2">
      <c r="AR327">
        <v>2.7846647130547037E-2</v>
      </c>
      <c r="AS327">
        <v>-3.5835969693433432E-5</v>
      </c>
    </row>
    <row r="328" spans="44:45" x14ac:dyDescent="0.2">
      <c r="AR328">
        <v>2.7754990619090196E-2</v>
      </c>
      <c r="AS328">
        <v>-2.129185050095542E-4</v>
      </c>
    </row>
    <row r="329" spans="44:45" x14ac:dyDescent="0.2">
      <c r="AR329">
        <v>2.8038717642464187E-2</v>
      </c>
      <c r="AS329">
        <v>-3.9000104032567494E-4</v>
      </c>
    </row>
    <row r="330" spans="44:45" x14ac:dyDescent="0.2">
      <c r="AR330">
        <v>2.8686692118774285E-2</v>
      </c>
      <c r="AS330">
        <v>-5.6708357564179564E-4</v>
      </c>
    </row>
    <row r="331" spans="44:45" x14ac:dyDescent="0.2">
      <c r="AR331">
        <v>2.9675062886476363E-2</v>
      </c>
      <c r="AS331">
        <v>-7.4416611095791646E-4</v>
      </c>
    </row>
    <row r="332" spans="44:45" x14ac:dyDescent="0.2">
      <c r="AR332">
        <v>3.0971258366924208E-2</v>
      </c>
      <c r="AS332">
        <v>-9.2124864627403727E-4</v>
      </c>
    </row>
    <row r="333" spans="44:45" x14ac:dyDescent="0.2">
      <c r="AR333">
        <v>3.2538512062795441E-2</v>
      </c>
      <c r="AS333">
        <v>-1.0983311815901578E-3</v>
      </c>
    </row>
    <row r="334" spans="44:45" x14ac:dyDescent="0.2">
      <c r="AR334">
        <v>3.4339730992045674E-2</v>
      </c>
      <c r="AS334">
        <v>-1.2754137169062785E-3</v>
      </c>
    </row>
    <row r="335" spans="44:45" x14ac:dyDescent="0.2">
      <c r="AR335">
        <v>3.63401419489097E-2</v>
      </c>
      <c r="AS335">
        <v>-1.4524962522223994E-3</v>
      </c>
    </row>
    <row r="336" spans="44:45" x14ac:dyDescent="0.2">
      <c r="AR336">
        <v>3.8508715169987377E-2</v>
      </c>
      <c r="AS336">
        <v>-1.6295787875385199E-3</v>
      </c>
    </row>
    <row r="337" spans="44:45" x14ac:dyDescent="0.2">
      <c r="AR337">
        <v>4.0818657573896182E-2</v>
      </c>
      <c r="AS337">
        <v>-1.806661322854641E-3</v>
      </c>
    </row>
    <row r="338" spans="44:45" x14ac:dyDescent="0.2">
      <c r="AR338">
        <v>4.3247322496800127E-2</v>
      </c>
      <c r="AS338">
        <v>-1.9837438581707615E-3</v>
      </c>
    </row>
    <row r="339" spans="44:45" x14ac:dyDescent="0.2">
      <c r="AR339">
        <v>4.5775817142514691E-2</v>
      </c>
      <c r="AS339">
        <v>-2.1608263934868826E-3</v>
      </c>
    </row>
    <row r="340" spans="44:45" x14ac:dyDescent="0.2">
      <c r="AR340">
        <v>4.8388494519907482E-2</v>
      </c>
      <c r="AS340">
        <v>-2.3379089288030038E-3</v>
      </c>
    </row>
    <row r="341" spans="44:45" x14ac:dyDescent="0.2">
      <c r="AR341">
        <v>5.1072436829044665E-2</v>
      </c>
      <c r="AS341">
        <v>-2.5149914641191241E-3</v>
      </c>
    </row>
    <row r="342" spans="44:45" x14ac:dyDescent="0.2">
      <c r="AR342">
        <v>5.3816982824438073E-2</v>
      </c>
      <c r="AS342">
        <v>-2.6920739994352448E-3</v>
      </c>
    </row>
    <row r="343" spans="44:45" x14ac:dyDescent="0.2">
      <c r="AR343">
        <v>5.7722184381593128E-2</v>
      </c>
      <c r="AS343">
        <v>2.6248727923304008E-3</v>
      </c>
    </row>
    <row r="344" spans="44:45" x14ac:dyDescent="0.2">
      <c r="AR344">
        <v>5.48928185134498E-2</v>
      </c>
      <c r="AS344">
        <v>2.4477902570142806E-3</v>
      </c>
    </row>
    <row r="345" spans="44:45" x14ac:dyDescent="0.2">
      <c r="AR345">
        <v>5.2110641080626761E-2</v>
      </c>
      <c r="AS345">
        <v>2.2707077216981594E-3</v>
      </c>
    </row>
    <row r="346" spans="44:45" x14ac:dyDescent="0.2">
      <c r="AR346">
        <v>4.9383628240872911E-2</v>
      </c>
      <c r="AS346">
        <v>2.0936251863820383E-3</v>
      </c>
    </row>
    <row r="347" spans="44:45" x14ac:dyDescent="0.2">
      <c r="AR347">
        <v>4.672144044811806E-2</v>
      </c>
      <c r="AS347">
        <v>1.9165426510659178E-3</v>
      </c>
    </row>
    <row r="348" spans="44:45" x14ac:dyDescent="0.2">
      <c r="AR348">
        <v>4.4135809630919981E-2</v>
      </c>
      <c r="AS348">
        <v>1.7394601157497973E-3</v>
      </c>
    </row>
    <row r="349" spans="44:45" x14ac:dyDescent="0.2">
      <c r="AR349">
        <v>4.1640999278620139E-2</v>
      </c>
      <c r="AS349">
        <v>1.5623775804336762E-3</v>
      </c>
    </row>
    <row r="350" spans="44:45" x14ac:dyDescent="0.2">
      <c r="AR350">
        <v>3.9254329506218058E-2</v>
      </c>
      <c r="AS350">
        <v>1.3852950451175555E-3</v>
      </c>
    </row>
    <row r="351" spans="44:45" x14ac:dyDescent="0.2">
      <c r="AR351">
        <v>3.6996734774286597E-2</v>
      </c>
      <c r="AS351">
        <v>1.208212509801435E-3</v>
      </c>
    </row>
    <row r="352" spans="44:45" x14ac:dyDescent="0.2">
      <c r="AR352">
        <v>3.4893277545259893E-2</v>
      </c>
      <c r="AS352">
        <v>1.031129974485314E-3</v>
      </c>
    </row>
    <row r="353" spans="44:45" x14ac:dyDescent="0.2">
      <c r="AR353">
        <v>3.2973469436163909E-2</v>
      </c>
      <c r="AS353">
        <v>8.5404743916919356E-4</v>
      </c>
    </row>
    <row r="354" spans="44:45" x14ac:dyDescent="0.2">
      <c r="AR354">
        <v>3.1271152687104425E-2</v>
      </c>
      <c r="AS354">
        <v>6.7696490385307263E-4</v>
      </c>
    </row>
    <row r="355" spans="44:45" x14ac:dyDescent="0.2">
      <c r="AR355">
        <v>2.9823593496059925E-2</v>
      </c>
      <c r="AS355">
        <v>4.9988236853695193E-4</v>
      </c>
    </row>
    <row r="356" spans="44:45" x14ac:dyDescent="0.2">
      <c r="AR356">
        <v>2.8669407084411826E-2</v>
      </c>
      <c r="AS356">
        <v>3.2279983322083117E-4</v>
      </c>
    </row>
    <row r="357" spans="44:45" x14ac:dyDescent="0.2">
      <c r="AR357">
        <v>2.7845098510163077E-2</v>
      </c>
      <c r="AS357">
        <v>1.4571729790471925E-4</v>
      </c>
    </row>
    <row r="358" spans="44:45" x14ac:dyDescent="0.2">
      <c r="AR358">
        <v>2.7380477614992627E-2</v>
      </c>
      <c r="AS358">
        <v>-3.1365237411401474E-5</v>
      </c>
    </row>
    <row r="359" spans="44:45" x14ac:dyDescent="0.2">
      <c r="AR359">
        <v>2.7293919336090308E-2</v>
      </c>
      <c r="AS359">
        <v>-2.0844777272752225E-4</v>
      </c>
    </row>
    <row r="360" spans="44:45" x14ac:dyDescent="0.2">
      <c r="AR360">
        <v>2.7588982328827619E-2</v>
      </c>
      <c r="AS360">
        <v>-3.8553030804364298E-4</v>
      </c>
    </row>
    <row r="361" spans="44:45" x14ac:dyDescent="0.2">
      <c r="AR361">
        <v>2.8253712925404819E-2</v>
      </c>
      <c r="AS361">
        <v>-5.6261284335976363E-4</v>
      </c>
    </row>
    <row r="362" spans="44:45" x14ac:dyDescent="0.2">
      <c r="AR362">
        <v>2.9262930084280308E-2</v>
      </c>
      <c r="AS362">
        <v>-7.3969537867588455E-4</v>
      </c>
    </row>
    <row r="363" spans="44:45" x14ac:dyDescent="0.2">
      <c r="AR363">
        <v>3.0582548864985629E-2</v>
      </c>
      <c r="AS363">
        <v>-9.1677791399200526E-4</v>
      </c>
    </row>
    <row r="364" spans="44:45" x14ac:dyDescent="0.2">
      <c r="AR364">
        <v>3.2174398952528334E-2</v>
      </c>
      <c r="AS364">
        <v>-1.093860449308126E-3</v>
      </c>
    </row>
    <row r="365" spans="44:45" x14ac:dyDescent="0.2">
      <c r="AR365">
        <v>3.4000265230570551E-2</v>
      </c>
      <c r="AS365">
        <v>-1.2709429846242467E-3</v>
      </c>
    </row>
    <row r="366" spans="44:45" x14ac:dyDescent="0.2">
      <c r="AR366">
        <v>3.6024582696504603E-2</v>
      </c>
      <c r="AS366">
        <v>-1.4480255199403676E-3</v>
      </c>
    </row>
    <row r="367" spans="44:45" x14ac:dyDescent="0.2">
      <c r="AR367">
        <v>3.8215828083150563E-2</v>
      </c>
      <c r="AS367">
        <v>-1.6251080552564883E-3</v>
      </c>
    </row>
    <row r="368" spans="44:45" x14ac:dyDescent="0.2">
      <c r="AR368">
        <v>4.0546946970394772E-2</v>
      </c>
      <c r="AS368">
        <v>-1.8021905905726092E-3</v>
      </c>
    </row>
    <row r="369" spans="44:45" x14ac:dyDescent="0.2">
      <c r="AR369">
        <v>4.2995194336978619E-2</v>
      </c>
      <c r="AS369">
        <v>-1.9792731258887297E-3</v>
      </c>
    </row>
    <row r="370" spans="44:45" x14ac:dyDescent="0.2">
      <c r="AR370">
        <v>4.5541684185420463E-2</v>
      </c>
      <c r="AS370">
        <v>-2.1563556612048508E-3</v>
      </c>
    </row>
    <row r="371" spans="44:45" x14ac:dyDescent="0.2">
      <c r="AR371">
        <v>4.8170838644661991E-2</v>
      </c>
      <c r="AS371">
        <v>-2.3334381965209715E-3</v>
      </c>
    </row>
    <row r="372" spans="44:45" x14ac:dyDescent="0.2">
      <c r="AR372">
        <v>5.0869842027777237E-2</v>
      </c>
      <c r="AS372">
        <v>-2.5105207318370923E-3</v>
      </c>
    </row>
    <row r="373" spans="44:45" x14ac:dyDescent="0.2">
      <c r="AR373">
        <v>5.3628149278596479E-2</v>
      </c>
      <c r="AS373">
        <v>-2.6876032671532125E-3</v>
      </c>
    </row>
    <row r="374" spans="44:45" x14ac:dyDescent="0.2">
      <c r="AR374">
        <v>5.7458454717591229E-2</v>
      </c>
      <c r="AS374">
        <v>2.6293435246124331E-3</v>
      </c>
    </row>
    <row r="375" spans="44:45" x14ac:dyDescent="0.2">
      <c r="AR375">
        <v>5.4618757799392466E-2</v>
      </c>
      <c r="AS375">
        <v>2.4522609892963123E-3</v>
      </c>
    </row>
    <row r="376" spans="44:45" x14ac:dyDescent="0.2">
      <c r="AR376">
        <v>5.1825378179800818E-2</v>
      </c>
      <c r="AS376">
        <v>2.2751784539801912E-3</v>
      </c>
    </row>
    <row r="377" spans="44:45" x14ac:dyDescent="0.2">
      <c r="AR377">
        <v>4.9086223915937151E-2</v>
      </c>
      <c r="AS377">
        <v>2.0980959186640705E-3</v>
      </c>
    </row>
    <row r="378" spans="44:45" x14ac:dyDescent="0.2">
      <c r="AR378">
        <v>4.6410897083412769E-2</v>
      </c>
      <c r="AS378">
        <v>1.9210133833479498E-3</v>
      </c>
    </row>
    <row r="379" spans="44:45" x14ac:dyDescent="0.2">
      <c r="AR379">
        <v>4.3811092120194968E-2</v>
      </c>
      <c r="AS379">
        <v>1.7439308480318291E-3</v>
      </c>
    </row>
    <row r="380" spans="44:45" x14ac:dyDescent="0.2">
      <c r="AR380">
        <v>4.1301073259138836E-2</v>
      </c>
      <c r="AS380">
        <v>1.5668483127157082E-3</v>
      </c>
    </row>
    <row r="381" spans="44:45" x14ac:dyDescent="0.2">
      <c r="AR381">
        <v>3.8898225497633727E-2</v>
      </c>
      <c r="AS381">
        <v>1.3897657773995875E-3</v>
      </c>
    </row>
    <row r="382" spans="44:45" x14ac:dyDescent="0.2">
      <c r="AR382">
        <v>3.6623649139432279E-2</v>
      </c>
      <c r="AS382">
        <v>1.212683242083467E-3</v>
      </c>
    </row>
    <row r="383" spans="44:45" x14ac:dyDescent="0.2">
      <c r="AR383">
        <v>3.4502722220531815E-2</v>
      </c>
      <c r="AS383">
        <v>1.0356007067673461E-3</v>
      </c>
    </row>
    <row r="384" spans="44:45" x14ac:dyDescent="0.2">
      <c r="AR384">
        <v>3.256547926687995E-2</v>
      </c>
      <c r="AS384">
        <v>8.5851817145122546E-4</v>
      </c>
    </row>
    <row r="385" spans="44:45" x14ac:dyDescent="0.2">
      <c r="AR385">
        <v>3.084654719821104E-2</v>
      </c>
      <c r="AS385">
        <v>6.8143563613510465E-4</v>
      </c>
    </row>
    <row r="386" spans="44:45" x14ac:dyDescent="0.2">
      <c r="AR386">
        <v>2.9384263528916307E-2</v>
      </c>
      <c r="AS386">
        <v>5.0435310081898394E-4</v>
      </c>
    </row>
    <row r="387" spans="44:45" x14ac:dyDescent="0.2">
      <c r="AR387">
        <v>2.82185550150536E-2</v>
      </c>
      <c r="AS387">
        <v>3.2727056550286307E-4</v>
      </c>
    </row>
    <row r="388" spans="44:45" x14ac:dyDescent="0.2">
      <c r="AR388">
        <v>2.7387317978470986E-2</v>
      </c>
      <c r="AS388">
        <v>1.5018803018675123E-4</v>
      </c>
    </row>
    <row r="389" spans="44:45" x14ac:dyDescent="0.2">
      <c r="AR389">
        <v>2.6921551959083207E-2</v>
      </c>
      <c r="AS389">
        <v>-2.6894505129369522E-5</v>
      </c>
    </row>
    <row r="390" spans="44:45" x14ac:dyDescent="0.2">
      <c r="AR390">
        <v>2.6840290025124901E-2</v>
      </c>
      <c r="AS390">
        <v>-2.0397704044549026E-4</v>
      </c>
    </row>
    <row r="391" spans="44:45" x14ac:dyDescent="0.2">
      <c r="AR391">
        <v>2.7146985326099986E-2</v>
      </c>
      <c r="AS391">
        <v>-3.8105957576161102E-4</v>
      </c>
    </row>
    <row r="392" spans="44:45" x14ac:dyDescent="0.2">
      <c r="AR392">
        <v>2.7828814040012969E-2</v>
      </c>
      <c r="AS392">
        <v>-5.5814211107773173E-4</v>
      </c>
    </row>
    <row r="393" spans="44:45" x14ac:dyDescent="0.2">
      <c r="AR393">
        <v>2.8859199648764062E-2</v>
      </c>
      <c r="AS393">
        <v>-7.3522464639385254E-4</v>
      </c>
    </row>
    <row r="394" spans="44:45" x14ac:dyDescent="0.2">
      <c r="AR394">
        <v>3.0202489181792459E-2</v>
      </c>
      <c r="AS394">
        <v>-9.1230718170997325E-4</v>
      </c>
    </row>
    <row r="395" spans="44:45" x14ac:dyDescent="0.2">
      <c r="AR395">
        <v>3.1819078178049458E-2</v>
      </c>
      <c r="AS395">
        <v>-1.089389717026094E-3</v>
      </c>
    </row>
    <row r="396" spans="44:45" x14ac:dyDescent="0.2">
      <c r="AR396">
        <v>3.3669623614481073E-2</v>
      </c>
      <c r="AS396">
        <v>-1.2664722523422147E-3</v>
      </c>
    </row>
    <row r="397" spans="44:45" x14ac:dyDescent="0.2">
      <c r="AR397">
        <v>3.5717779991151284E-2</v>
      </c>
      <c r="AS397">
        <v>-1.4435547876583358E-3</v>
      </c>
    </row>
    <row r="398" spans="44:45" x14ac:dyDescent="0.2">
      <c r="AR398">
        <v>3.7931550133987635E-2</v>
      </c>
      <c r="AS398">
        <v>-1.6206373229744563E-3</v>
      </c>
    </row>
    <row r="399" spans="44:45" x14ac:dyDescent="0.2">
      <c r="AR399">
        <v>4.028363958921307E-2</v>
      </c>
      <c r="AS399">
        <v>-1.7977198582905772E-3</v>
      </c>
    </row>
    <row r="400" spans="44:45" x14ac:dyDescent="0.2">
      <c r="AR400">
        <v>4.2751224268498755E-2</v>
      </c>
      <c r="AS400">
        <v>-1.9748023936066979E-3</v>
      </c>
    </row>
    <row r="401" spans="44:45" x14ac:dyDescent="0.2">
      <c r="AR401">
        <v>4.5315440737929556E-2</v>
      </c>
      <c r="AS401">
        <v>-2.1518849289228186E-3</v>
      </c>
    </row>
    <row r="402" spans="44:45" x14ac:dyDescent="0.2">
      <c r="AR402">
        <v>4.7960792289177219E-2</v>
      </c>
      <c r="AS402">
        <v>-2.3289674642389398E-3</v>
      </c>
    </row>
    <row r="403" spans="44:45" x14ac:dyDescent="0.2">
      <c r="AR403">
        <v>5.0674574094449594E-2</v>
      </c>
      <c r="AS403">
        <v>-2.50604999955506E-3</v>
      </c>
    </row>
    <row r="404" spans="44:45" x14ac:dyDescent="0.2">
      <c r="AR404">
        <v>5.3446363367563081E-2</v>
      </c>
      <c r="AS404">
        <v>-2.6831325348711807E-3</v>
      </c>
    </row>
    <row r="405" spans="44:45" x14ac:dyDescent="0.2">
      <c r="AR405">
        <v>5.7200717431977417E-2</v>
      </c>
      <c r="AS405">
        <v>2.6338142568944648E-3</v>
      </c>
    </row>
    <row r="406" spans="44:45" x14ac:dyDescent="0.2">
      <c r="AR406">
        <v>5.4350901466263181E-2</v>
      </c>
      <c r="AS406">
        <v>2.4567317215783441E-3</v>
      </c>
    </row>
    <row r="407" spans="44:45" x14ac:dyDescent="0.2">
      <c r="AR407">
        <v>5.1546535679650091E-2</v>
      </c>
      <c r="AS407">
        <v>2.2796491862622234E-3</v>
      </c>
    </row>
    <row r="408" spans="44:45" x14ac:dyDescent="0.2">
      <c r="AR408">
        <v>4.8795457020781093E-2</v>
      </c>
      <c r="AS408">
        <v>2.1025666509461023E-3</v>
      </c>
    </row>
    <row r="409" spans="44:45" x14ac:dyDescent="0.2">
      <c r="AR409">
        <v>4.6107204925866167E-2</v>
      </c>
      <c r="AS409">
        <v>1.9254841156299816E-3</v>
      </c>
    </row>
    <row r="410" spans="44:45" x14ac:dyDescent="0.2">
      <c r="AR410">
        <v>4.3493430552213344E-2</v>
      </c>
      <c r="AS410">
        <v>1.7484015803138611E-3</v>
      </c>
    </row>
    <row r="411" spans="44:45" x14ac:dyDescent="0.2">
      <c r="AR411">
        <v>4.09683913674928E-2</v>
      </c>
      <c r="AS411">
        <v>1.5713190449977402E-3</v>
      </c>
    </row>
    <row r="412" spans="44:45" x14ac:dyDescent="0.2">
      <c r="AR412">
        <v>3.8549528093030902E-2</v>
      </c>
      <c r="AS412">
        <v>1.3942365096816195E-3</v>
      </c>
    </row>
    <row r="413" spans="44:45" x14ac:dyDescent="0.2">
      <c r="AR413">
        <v>3.6258096696685074E-2</v>
      </c>
      <c r="AS413">
        <v>1.217153974365499E-3</v>
      </c>
    </row>
    <row r="414" spans="44:45" x14ac:dyDescent="0.2">
      <c r="AR414">
        <v>3.4119781225154674E-2</v>
      </c>
      <c r="AS414">
        <v>1.0400714390493781E-3</v>
      </c>
    </row>
    <row r="415" spans="44:45" x14ac:dyDescent="0.2">
      <c r="AR415">
        <v>3.2165133305399739E-2</v>
      </c>
      <c r="AS415">
        <v>8.6298890373325736E-4</v>
      </c>
    </row>
    <row r="416" spans="44:45" x14ac:dyDescent="0.2">
      <c r="AR416">
        <v>3.042956728531182E-2</v>
      </c>
      <c r="AS416">
        <v>6.8590636841713655E-4</v>
      </c>
    </row>
    <row r="417" spans="44:45" x14ac:dyDescent="0.2">
      <c r="AR417">
        <v>2.895250878082881E-2</v>
      </c>
      <c r="AS417">
        <v>5.0882383310101574E-4</v>
      </c>
    </row>
    <row r="418" spans="44:45" x14ac:dyDescent="0.2">
      <c r="AR418">
        <v>2.7775229956781378E-2</v>
      </c>
      <c r="AS418">
        <v>3.3174129778489508E-4</v>
      </c>
    </row>
    <row r="419" spans="44:45" x14ac:dyDescent="0.2">
      <c r="AR419">
        <v>2.6937064957334701E-2</v>
      </c>
      <c r="AS419">
        <v>1.5465876246878319E-4</v>
      </c>
    </row>
    <row r="420" spans="44:45" x14ac:dyDescent="0.2">
      <c r="AR420">
        <v>2.6470246934902526E-2</v>
      </c>
      <c r="AS420">
        <v>-2.2423772847337571E-5</v>
      </c>
    </row>
    <row r="421" spans="44:45" x14ac:dyDescent="0.2">
      <c r="AR421">
        <v>2.6394486393738172E-2</v>
      </c>
      <c r="AS421">
        <v>-1.9950630816345833E-4</v>
      </c>
    </row>
    <row r="422" spans="44:45" x14ac:dyDescent="0.2">
      <c r="AR422">
        <v>2.6713110752946925E-2</v>
      </c>
      <c r="AS422">
        <v>-3.7658884347957906E-4</v>
      </c>
    </row>
    <row r="423" spans="44:45" x14ac:dyDescent="0.2">
      <c r="AR423">
        <v>2.7412371205801478E-2</v>
      </c>
      <c r="AS423">
        <v>-5.5367137879569982E-4</v>
      </c>
    </row>
    <row r="424" spans="44:45" x14ac:dyDescent="0.2">
      <c r="AR424">
        <v>2.8464229114198145E-2</v>
      </c>
      <c r="AS424">
        <v>-7.3075391411182064E-4</v>
      </c>
    </row>
    <row r="425" spans="44:45" x14ac:dyDescent="0.2">
      <c r="AR425">
        <v>2.9831409921791199E-2</v>
      </c>
      <c r="AS425">
        <v>-9.0783644942794145E-4</v>
      </c>
    </row>
    <row r="426" spans="44:45" x14ac:dyDescent="0.2">
      <c r="AR426">
        <v>3.1472847530749193E-2</v>
      </c>
      <c r="AS426">
        <v>-1.0849189847440619E-3</v>
      </c>
    </row>
    <row r="427" spans="44:45" x14ac:dyDescent="0.2">
      <c r="AR427">
        <v>3.3348068615454994E-2</v>
      </c>
      <c r="AS427">
        <v>-1.2620015200601829E-3</v>
      </c>
    </row>
    <row r="428" spans="44:45" x14ac:dyDescent="0.2">
      <c r="AR428">
        <v>3.5419961377503931E-2</v>
      </c>
      <c r="AS428">
        <v>-1.4390840553763038E-3</v>
      </c>
    </row>
    <row r="429" spans="44:45" x14ac:dyDescent="0.2">
      <c r="AR429">
        <v>3.7656076302531982E-2</v>
      </c>
      <c r="AS429">
        <v>-1.6161665906924243E-3</v>
      </c>
    </row>
    <row r="430" spans="44:45" x14ac:dyDescent="0.2">
      <c r="AR430">
        <v>4.002890125816369E-2</v>
      </c>
      <c r="AS430">
        <v>-1.7932491260085452E-3</v>
      </c>
    </row>
    <row r="431" spans="44:45" x14ac:dyDescent="0.2">
      <c r="AR431">
        <v>4.2515552734087698E-2</v>
      </c>
      <c r="AS431">
        <v>-1.9703316613246657E-3</v>
      </c>
    </row>
    <row r="432" spans="44:45" x14ac:dyDescent="0.2">
      <c r="AR432">
        <v>4.5097205540361708E-2</v>
      </c>
      <c r="AS432">
        <v>-2.1474141966407868E-3</v>
      </c>
    </row>
    <row r="433" spans="44:45" x14ac:dyDescent="0.2">
      <c r="AR433">
        <v>4.7758455855793081E-2</v>
      </c>
      <c r="AS433">
        <v>-2.3244967319569075E-3</v>
      </c>
    </row>
    <row r="434" spans="44:45" x14ac:dyDescent="0.2">
      <c r="AR434">
        <v>5.0486718043712332E-2</v>
      </c>
      <c r="AS434">
        <v>-2.5015792672730282E-3</v>
      </c>
    </row>
    <row r="435" spans="44:45" x14ac:dyDescent="0.2">
      <c r="AR435">
        <v>5.327169724005746E-2</v>
      </c>
      <c r="AS435">
        <v>-2.6786618025891485E-3</v>
      </c>
    </row>
    <row r="436" spans="44:45" x14ac:dyDescent="0.2">
      <c r="AR436">
        <v>5.6949053884862433E-2</v>
      </c>
      <c r="AS436">
        <v>2.6382849891764966E-3</v>
      </c>
    </row>
    <row r="437" spans="44:45" x14ac:dyDescent="0.2">
      <c r="AR437">
        <v>5.4089341688458366E-2</v>
      </c>
      <c r="AS437">
        <v>2.4612024538603764E-3</v>
      </c>
    </row>
    <row r="438" spans="44:45" x14ac:dyDescent="0.2">
      <c r="AR438">
        <v>5.1274218327694666E-2</v>
      </c>
      <c r="AS438">
        <v>2.2841199185442552E-3</v>
      </c>
    </row>
    <row r="439" spans="44:45" x14ac:dyDescent="0.2">
      <c r="AR439">
        <v>4.8511446905414667E-2</v>
      </c>
      <c r="AS439">
        <v>2.1070373832281345E-3</v>
      </c>
    </row>
    <row r="440" spans="44:45" x14ac:dyDescent="0.2">
      <c r="AR440">
        <v>4.5810500232076695E-2</v>
      </c>
      <c r="AS440">
        <v>1.9299548479120134E-3</v>
      </c>
    </row>
    <row r="441" spans="44:45" x14ac:dyDescent="0.2">
      <c r="AR441">
        <v>4.3182980641507336E-2</v>
      </c>
      <c r="AS441">
        <v>1.7528723125958929E-3</v>
      </c>
    </row>
    <row r="442" spans="44:45" x14ac:dyDescent="0.2">
      <c r="AR442">
        <v>4.0643131493180502E-2</v>
      </c>
      <c r="AS442">
        <v>1.575789777279772E-3</v>
      </c>
    </row>
    <row r="443" spans="44:45" x14ac:dyDescent="0.2">
      <c r="AR443">
        <v>3.8208440075127269E-2</v>
      </c>
      <c r="AS443">
        <v>1.3987072419636513E-3</v>
      </c>
    </row>
    <row r="444" spans="44:45" x14ac:dyDescent="0.2">
      <c r="AR444">
        <v>3.5900307565433033E-2</v>
      </c>
      <c r="AS444">
        <v>1.2216247066475308E-3</v>
      </c>
    </row>
    <row r="445" spans="44:45" x14ac:dyDescent="0.2">
      <c r="AR445">
        <v>3.3744713786402918E-2</v>
      </c>
      <c r="AS445">
        <v>1.0445421713314096E-3</v>
      </c>
    </row>
    <row r="446" spans="44:45" x14ac:dyDescent="0.2">
      <c r="AR446">
        <v>3.1772720511081196E-2</v>
      </c>
      <c r="AS446">
        <v>8.6745963601528905E-4</v>
      </c>
    </row>
    <row r="447" spans="44:45" x14ac:dyDescent="0.2">
      <c r="AR447">
        <v>3.0020530703832902E-2</v>
      </c>
      <c r="AS447">
        <v>6.9037710069916824E-4</v>
      </c>
    </row>
    <row r="448" spans="44:45" x14ac:dyDescent="0.2">
      <c r="AR448">
        <v>2.8528673185406549E-2</v>
      </c>
      <c r="AS448">
        <v>5.1329456538304753E-4</v>
      </c>
    </row>
    <row r="449" spans="44:45" x14ac:dyDescent="0.2">
      <c r="AR449">
        <v>2.7339798071952925E-2</v>
      </c>
      <c r="AS449">
        <v>3.3621203006692683E-4</v>
      </c>
    </row>
    <row r="450" spans="44:45" x14ac:dyDescent="0.2">
      <c r="AR450">
        <v>2.6494723218521362E-2</v>
      </c>
      <c r="AS450">
        <v>1.591294947508149E-4</v>
      </c>
    </row>
    <row r="451" spans="44:45" x14ac:dyDescent="0.2">
      <c r="AR451">
        <v>2.6026958968585111E-2</v>
      </c>
      <c r="AS451">
        <v>-1.7953040565305837E-5</v>
      </c>
    </row>
    <row r="452" spans="44:45" x14ac:dyDescent="0.2">
      <c r="AR452">
        <v>2.5956911657480295E-2</v>
      </c>
      <c r="AS452">
        <v>-1.9503557588142662E-4</v>
      </c>
    </row>
    <row r="453" spans="44:45" x14ac:dyDescent="0.2">
      <c r="AR453">
        <v>2.6287760789986011E-2</v>
      </c>
      <c r="AS453">
        <v>-3.7211811119754732E-4</v>
      </c>
    </row>
    <row r="454" spans="44:45" x14ac:dyDescent="0.2">
      <c r="AR454">
        <v>2.7004775629956297E-2</v>
      </c>
      <c r="AS454">
        <v>-5.4920064651366803E-4</v>
      </c>
    </row>
    <row r="455" spans="44:45" x14ac:dyDescent="0.2">
      <c r="AR455">
        <v>2.8078388151966688E-2</v>
      </c>
      <c r="AS455">
        <v>-7.2628318182978895E-4</v>
      </c>
    </row>
    <row r="456" spans="44:45" x14ac:dyDescent="0.2">
      <c r="AR456">
        <v>2.9469650329045149E-2</v>
      </c>
      <c r="AS456">
        <v>-9.0336571714590965E-4</v>
      </c>
    </row>
    <row r="457" spans="44:45" x14ac:dyDescent="0.2">
      <c r="AR457">
        <v>3.1136010257182024E-2</v>
      </c>
      <c r="AS457">
        <v>-1.0804482524620304E-3</v>
      </c>
    </row>
    <row r="458" spans="44:45" x14ac:dyDescent="0.2">
      <c r="AR458">
        <v>3.3035865568650742E-2</v>
      </c>
      <c r="AS458">
        <v>-1.2575307877781511E-3</v>
      </c>
    </row>
    <row r="459" spans="44:45" x14ac:dyDescent="0.2">
      <c r="AR459">
        <v>3.513135533850139E-2</v>
      </c>
      <c r="AS459">
        <v>-1.434613323094272E-3</v>
      </c>
    </row>
    <row r="460" spans="44:45" x14ac:dyDescent="0.2">
      <c r="AR460">
        <v>3.7389601186501052E-2</v>
      </c>
      <c r="AS460">
        <v>-1.6116958584103925E-3</v>
      </c>
    </row>
    <row r="461" spans="44:45" x14ac:dyDescent="0.2">
      <c r="AR461">
        <v>3.9782896585927714E-2</v>
      </c>
      <c r="AS461">
        <v>-1.7887783937265134E-3</v>
      </c>
    </row>
    <row r="462" spans="44:45" x14ac:dyDescent="0.2">
      <c r="AR462">
        <v>4.2288318476419735E-2</v>
      </c>
      <c r="AS462">
        <v>-1.9658609290426343E-3</v>
      </c>
    </row>
    <row r="463" spans="44:45" x14ac:dyDescent="0.2">
      <c r="AR463">
        <v>4.4887095398065707E-2</v>
      </c>
      <c r="AS463">
        <v>-2.1429434643587546E-3</v>
      </c>
    </row>
    <row r="464" spans="44:45" x14ac:dyDescent="0.2">
      <c r="AR464">
        <v>4.7563927738386663E-2</v>
      </c>
      <c r="AS464">
        <v>-2.3200259996748757E-3</v>
      </c>
    </row>
    <row r="465" spans="44:45" x14ac:dyDescent="0.2">
      <c r="AR465">
        <v>5.0306356908897218E-2</v>
      </c>
      <c r="AS465">
        <v>-2.497108534990996E-3</v>
      </c>
    </row>
    <row r="466" spans="44:45" x14ac:dyDescent="0.2">
      <c r="AR466">
        <v>5.3104221149581868E-2</v>
      </c>
      <c r="AS466">
        <v>-2.6741910703071167E-3</v>
      </c>
    </row>
    <row r="467" spans="44:45" x14ac:dyDescent="0.2">
      <c r="AR467">
        <v>5.6703544946304717E-2</v>
      </c>
      <c r="AS467">
        <v>2.6427557214585289E-3</v>
      </c>
    </row>
    <row r="468" spans="44:45" x14ac:dyDescent="0.2">
      <c r="AR468">
        <v>5.3834170243765661E-2</v>
      </c>
      <c r="AS468">
        <v>2.4656731861424082E-3</v>
      </c>
    </row>
    <row r="469" spans="44:45" x14ac:dyDescent="0.2">
      <c r="AR469">
        <v>5.1008530630742101E-2</v>
      </c>
      <c r="AS469">
        <v>2.2885906508262875E-3</v>
      </c>
    </row>
    <row r="470" spans="44:45" x14ac:dyDescent="0.2">
      <c r="AR470">
        <v>4.8234312924467282E-2</v>
      </c>
      <c r="AS470">
        <v>2.1115081155101663E-3</v>
      </c>
    </row>
    <row r="471" spans="44:45" x14ac:dyDescent="0.2">
      <c r="AR471">
        <v>4.5520919634811578E-2</v>
      </c>
      <c r="AS471">
        <v>1.9344255801940454E-3</v>
      </c>
    </row>
    <row r="472" spans="44:45" x14ac:dyDescent="0.2">
      <c r="AR472">
        <v>4.2879899025277377E-2</v>
      </c>
      <c r="AS472">
        <v>1.7573430448779249E-3</v>
      </c>
    </row>
    <row r="473" spans="44:45" x14ac:dyDescent="0.2">
      <c r="AR473">
        <v>4.0325473231599629E-2</v>
      </c>
      <c r="AS473">
        <v>1.580260509561804E-3</v>
      </c>
    </row>
    <row r="474" spans="44:45" x14ac:dyDescent="0.2">
      <c r="AR474">
        <v>3.7875167025405963E-2</v>
      </c>
      <c r="AS474">
        <v>1.4031779742456833E-3</v>
      </c>
    </row>
    <row r="475" spans="44:45" x14ac:dyDescent="0.2">
      <c r="AR475">
        <v>3.5550516142073191E-2</v>
      </c>
      <c r="AS475">
        <v>1.2260954389295626E-3</v>
      </c>
    </row>
    <row r="476" spans="44:45" x14ac:dyDescent="0.2">
      <c r="AR476">
        <v>3.3377785331694478E-2</v>
      </c>
      <c r="AS476">
        <v>1.0490129036134417E-3</v>
      </c>
    </row>
    <row r="477" spans="44:45" x14ac:dyDescent="0.2">
      <c r="AR477">
        <v>3.1388538421612086E-2</v>
      </c>
      <c r="AS477">
        <v>8.7193036829732106E-4</v>
      </c>
    </row>
    <row r="478" spans="44:45" x14ac:dyDescent="0.2">
      <c r="AR478">
        <v>2.9619766537851425E-2</v>
      </c>
      <c r="AS478">
        <v>6.9484783298120025E-4</v>
      </c>
    </row>
    <row r="479" spans="44:45" x14ac:dyDescent="0.2">
      <c r="AR479">
        <v>2.8113114914290339E-2</v>
      </c>
      <c r="AS479">
        <v>5.1776529766507943E-4</v>
      </c>
    </row>
    <row r="480" spans="44:45" x14ac:dyDescent="0.2">
      <c r="AR480">
        <v>2.6912642485026082E-2</v>
      </c>
      <c r="AS480">
        <v>3.4068276234895873E-4</v>
      </c>
    </row>
    <row r="481" spans="44:45" x14ac:dyDescent="0.2">
      <c r="AR481">
        <v>2.6060695612071361E-2</v>
      </c>
      <c r="AS481">
        <v>1.6360022703284686E-4</v>
      </c>
    </row>
    <row r="482" spans="44:45" x14ac:dyDescent="0.2">
      <c r="AR482">
        <v>2.5592104660592172E-2</v>
      </c>
      <c r="AS482">
        <v>-1.3482308283273889E-5</v>
      </c>
    </row>
    <row r="483" spans="44:45" x14ac:dyDescent="0.2">
      <c r="AR483">
        <v>2.5527988973827086E-2</v>
      </c>
      <c r="AS483">
        <v>-1.9056484359939466E-4</v>
      </c>
    </row>
    <row r="484" spans="44:45" x14ac:dyDescent="0.2">
      <c r="AR484">
        <v>2.5871355898994496E-2</v>
      </c>
      <c r="AS484">
        <v>-3.6764737891551542E-4</v>
      </c>
    </row>
    <row r="485" spans="44:45" x14ac:dyDescent="0.2">
      <c r="AR485">
        <v>2.6606433920623472E-2</v>
      </c>
      <c r="AS485">
        <v>-5.4472991423163612E-4</v>
      </c>
    </row>
    <row r="486" spans="44:45" x14ac:dyDescent="0.2">
      <c r="AR486">
        <v>2.7702058241366026E-2</v>
      </c>
      <c r="AS486">
        <v>-7.2181244954775694E-4</v>
      </c>
    </row>
    <row r="487" spans="44:45" x14ac:dyDescent="0.2">
      <c r="AR487">
        <v>2.9117557771197664E-2</v>
      </c>
      <c r="AS487">
        <v>-8.9889498486387764E-4</v>
      </c>
    </row>
    <row r="488" spans="44:45" x14ac:dyDescent="0.2">
      <c r="AR488">
        <v>3.0808874455674248E-2</v>
      </c>
      <c r="AS488">
        <v>-1.0759775201799983E-3</v>
      </c>
    </row>
    <row r="489" spans="44:45" x14ac:dyDescent="0.2">
      <c r="AR489">
        <v>3.2733282065925309E-2</v>
      </c>
      <c r="AS489">
        <v>-1.2530600554961191E-3</v>
      </c>
    </row>
    <row r="490" spans="44:45" x14ac:dyDescent="0.2">
      <c r="AR490">
        <v>3.4852190738959635E-2</v>
      </c>
      <c r="AS490">
        <v>-1.43014259081224E-3</v>
      </c>
    </row>
    <row r="491" spans="44:45" x14ac:dyDescent="0.2">
      <c r="AR491">
        <v>3.7132318520632208E-2</v>
      </c>
      <c r="AS491">
        <v>-1.6072251261283605E-3</v>
      </c>
    </row>
    <row r="492" spans="44:45" x14ac:dyDescent="0.2">
      <c r="AR492">
        <v>3.9545788562703028E-2</v>
      </c>
      <c r="AS492">
        <v>-1.7843076614444814E-3</v>
      </c>
    </row>
    <row r="493" spans="44:45" x14ac:dyDescent="0.2">
      <c r="AR493">
        <v>4.2069658214558957E-2</v>
      </c>
      <c r="AS493">
        <v>-1.9613901967606021E-3</v>
      </c>
    </row>
    <row r="494" spans="44:45" x14ac:dyDescent="0.2">
      <c r="AR494">
        <v>4.468522492333532E-2</v>
      </c>
      <c r="AS494">
        <v>-2.1384727320767228E-3</v>
      </c>
    </row>
    <row r="495" spans="44:45" x14ac:dyDescent="0.2">
      <c r="AR495">
        <v>4.7377304118362357E-2</v>
      </c>
      <c r="AS495">
        <v>-2.3155552673928435E-3</v>
      </c>
    </row>
    <row r="496" spans="44:45" x14ac:dyDescent="0.2">
      <c r="AR496">
        <v>5.013357158146612E-2</v>
      </c>
      <c r="AS496">
        <v>-2.4926378027089642E-3</v>
      </c>
    </row>
    <row r="497" spans="44:45" x14ac:dyDescent="0.2">
      <c r="AR497">
        <v>5.2944003328230148E-2</v>
      </c>
      <c r="AS497">
        <v>-2.6697203380250849E-3</v>
      </c>
    </row>
    <row r="498" spans="44:45" x14ac:dyDescent="0.2">
      <c r="AR498">
        <v>5.6464270897823771E-2</v>
      </c>
      <c r="AS498">
        <v>2.6472264537405602E-3</v>
      </c>
    </row>
    <row r="499" spans="44:45" x14ac:dyDescent="0.2">
      <c r="AR499">
        <v>5.3585478395058526E-2</v>
      </c>
      <c r="AS499">
        <v>2.47014391842444E-3</v>
      </c>
    </row>
    <row r="500" spans="44:45" x14ac:dyDescent="0.2">
      <c r="AR500">
        <v>5.074957671298555E-2</v>
      </c>
      <c r="AS500">
        <v>2.2930613831083188E-3</v>
      </c>
    </row>
    <row r="501" spans="44:45" x14ac:dyDescent="0.2">
      <c r="AR501">
        <v>4.7964174267703108E-2</v>
      </c>
      <c r="AS501">
        <v>2.1159788477921981E-3</v>
      </c>
    </row>
    <row r="502" spans="44:45" x14ac:dyDescent="0.2">
      <c r="AR502">
        <v>4.5238599942233469E-2</v>
      </c>
      <c r="AS502">
        <v>1.9388963124760774E-3</v>
      </c>
    </row>
    <row r="503" spans="44:45" x14ac:dyDescent="0.2">
      <c r="AR503">
        <v>4.2584343028861736E-2</v>
      </c>
      <c r="AS503">
        <v>1.7618137771599569E-3</v>
      </c>
    </row>
    <row r="504" spans="44:45" x14ac:dyDescent="0.2">
      <c r="AR504">
        <v>4.0015597616198988E-2</v>
      </c>
      <c r="AS504">
        <v>1.584731241843836E-3</v>
      </c>
    </row>
    <row r="505" spans="44:45" x14ac:dyDescent="0.2">
      <c r="AR505">
        <v>3.7549917028920334E-2</v>
      </c>
      <c r="AS505">
        <v>1.4076487065277151E-3</v>
      </c>
    </row>
    <row r="506" spans="44:45" x14ac:dyDescent="0.2">
      <c r="AR506">
        <v>3.5208960792552778E-2</v>
      </c>
      <c r="AS506">
        <v>1.2305661712115946E-3</v>
      </c>
    </row>
    <row r="507" spans="44:45" x14ac:dyDescent="0.2">
      <c r="AR507">
        <v>3.3019267196891307E-2</v>
      </c>
      <c r="AS507">
        <v>1.0534836358954737E-3</v>
      </c>
    </row>
    <row r="508" spans="44:45" x14ac:dyDescent="0.2">
      <c r="AR508">
        <v>3.1012892919934955E-2</v>
      </c>
      <c r="AS508">
        <v>8.7640110057935307E-4</v>
      </c>
    </row>
    <row r="509" spans="44:45" x14ac:dyDescent="0.2">
      <c r="AR509">
        <v>2.9227615079278482E-2</v>
      </c>
      <c r="AS509">
        <v>6.9931856526323215E-4</v>
      </c>
    </row>
    <row r="510" spans="44:45" x14ac:dyDescent="0.2">
      <c r="AR510">
        <v>2.7706206418364972E-2</v>
      </c>
      <c r="AS510">
        <v>5.2223602994711145E-4</v>
      </c>
    </row>
    <row r="511" spans="44:45" x14ac:dyDescent="0.2">
      <c r="AR511">
        <v>2.6494163506083673E-2</v>
      </c>
      <c r="AS511">
        <v>3.4515349463099074E-4</v>
      </c>
    </row>
    <row r="512" spans="44:45" x14ac:dyDescent="0.2">
      <c r="AR512">
        <v>2.5635404435908764E-2</v>
      </c>
      <c r="AS512">
        <v>1.6807095931487879E-4</v>
      </c>
    </row>
    <row r="513" spans="44:45" x14ac:dyDescent="0.2">
      <c r="AR513">
        <v>2.516612119921521E-2</v>
      </c>
      <c r="AS513">
        <v>-9.0115760012419328E-6</v>
      </c>
    </row>
    <row r="514" spans="44:45" x14ac:dyDescent="0.2">
      <c r="AR514">
        <v>2.510816175569278E-2</v>
      </c>
      <c r="AS514">
        <v>-1.860941113173627E-4</v>
      </c>
    </row>
    <row r="515" spans="44:45" x14ac:dyDescent="0.2">
      <c r="AR515">
        <v>2.5464334905941365E-2</v>
      </c>
      <c r="AS515">
        <v>-3.6317664663348341E-4</v>
      </c>
    </row>
    <row r="516" spans="44:45" x14ac:dyDescent="0.2">
      <c r="AR516">
        <v>2.6217767879232596E-2</v>
      </c>
      <c r="AS516">
        <v>-5.4025918194960411E-4</v>
      </c>
    </row>
    <row r="517" spans="44:45" x14ac:dyDescent="0.2">
      <c r="AR517">
        <v>2.7335632201435599E-2</v>
      </c>
      <c r="AS517">
        <v>-7.1734171726572492E-4</v>
      </c>
    </row>
    <row r="518" spans="44:45" x14ac:dyDescent="0.2">
      <c r="AR518">
        <v>2.8775487103617745E-2</v>
      </c>
      <c r="AS518">
        <v>-8.9442425258184574E-4</v>
      </c>
    </row>
    <row r="519" spans="44:45" x14ac:dyDescent="0.2">
      <c r="AR519">
        <v>3.0491752379360648E-2</v>
      </c>
      <c r="AS519">
        <v>-1.0715067878979663E-3</v>
      </c>
    </row>
    <row r="520" spans="44:45" x14ac:dyDescent="0.2">
      <c r="AR520">
        <v>3.244058728188326E-2</v>
      </c>
      <c r="AS520">
        <v>-1.248589323214087E-3</v>
      </c>
    </row>
    <row r="521" spans="44:45" x14ac:dyDescent="0.2">
      <c r="AR521">
        <v>3.4582696224241871E-2</v>
      </c>
      <c r="AS521">
        <v>-1.425671858530208E-3</v>
      </c>
    </row>
    <row r="522" spans="44:45" x14ac:dyDescent="0.2">
      <c r="AR522">
        <v>3.6884420667788249E-2</v>
      </c>
      <c r="AS522">
        <v>-1.6027543938463285E-3</v>
      </c>
    </row>
    <row r="523" spans="44:45" x14ac:dyDescent="0.2">
      <c r="AR523">
        <v>3.9317738144176141E-2</v>
      </c>
      <c r="AS523">
        <v>-1.7798369291624496E-3</v>
      </c>
    </row>
    <row r="524" spans="44:45" x14ac:dyDescent="0.2">
      <c r="AR524">
        <v>4.1859706311262013E-2</v>
      </c>
      <c r="AS524">
        <v>-1.9569194644785703E-3</v>
      </c>
    </row>
    <row r="525" spans="44:45" x14ac:dyDescent="0.2">
      <c r="AR525">
        <v>4.4491706272873813E-2</v>
      </c>
      <c r="AS525">
        <v>-2.134001999794691E-3</v>
      </c>
    </row>
    <row r="526" spans="44:45" x14ac:dyDescent="0.2">
      <c r="AR526">
        <v>4.7198678758983446E-2</v>
      </c>
      <c r="AS526">
        <v>-2.3110845351108121E-3</v>
      </c>
    </row>
    <row r="527" spans="44:45" x14ac:dyDescent="0.2">
      <c r="AR527">
        <v>4.9968440650386706E-2</v>
      </c>
      <c r="AS527">
        <v>-2.4881670704269328E-3</v>
      </c>
    </row>
    <row r="528" spans="44:45" x14ac:dyDescent="0.2">
      <c r="AR528">
        <v>5.279110986126534E-2</v>
      </c>
      <c r="AS528">
        <v>-2.6652496057430531E-3</v>
      </c>
    </row>
    <row r="529" spans="44:45" x14ac:dyDescent="0.2">
      <c r="AR529">
        <v>5.6231311331113858E-2</v>
      </c>
      <c r="AS529">
        <v>2.6516971860225925E-3</v>
      </c>
    </row>
    <row r="530" spans="44:45" x14ac:dyDescent="0.2">
      <c r="AR530">
        <v>5.3343356767908967E-2</v>
      </c>
      <c r="AS530">
        <v>2.4746146507064718E-3</v>
      </c>
    </row>
    <row r="531" spans="44:45" x14ac:dyDescent="0.2">
      <c r="AR531">
        <v>5.0497460168167384E-2</v>
      </c>
      <c r="AS531">
        <v>2.2975321153903511E-3</v>
      </c>
    </row>
    <row r="532" spans="44:45" x14ac:dyDescent="0.2">
      <c r="AR532">
        <v>4.7701149781932392E-2</v>
      </c>
      <c r="AS532">
        <v>2.1204495800742299E-3</v>
      </c>
    </row>
    <row r="533" spans="44:45" x14ac:dyDescent="0.2">
      <c r="AR533">
        <v>4.4963677924703987E-2</v>
      </c>
      <c r="AS533">
        <v>1.9433670447581094E-3</v>
      </c>
    </row>
    <row r="534" spans="44:45" x14ac:dyDescent="0.2">
      <c r="AR534">
        <v>4.2296470413382511E-2</v>
      </c>
      <c r="AS534">
        <v>1.7662845094419889E-3</v>
      </c>
    </row>
    <row r="535" spans="44:45" x14ac:dyDescent="0.2">
      <c r="AR535">
        <v>3.9713686825315495E-2</v>
      </c>
      <c r="AS535">
        <v>1.5892019741258678E-3</v>
      </c>
    </row>
    <row r="536" spans="44:45" x14ac:dyDescent="0.2">
      <c r="AR536">
        <v>3.7232900343698708E-2</v>
      </c>
      <c r="AS536">
        <v>1.4121194388097471E-3</v>
      </c>
    </row>
    <row r="537" spans="44:45" x14ac:dyDescent="0.2">
      <c r="AR537">
        <v>3.4875883496534213E-2</v>
      </c>
      <c r="AS537">
        <v>1.2350369034936266E-3</v>
      </c>
    </row>
    <row r="538" spans="44:45" x14ac:dyDescent="0.2">
      <c r="AR538">
        <v>3.2669436270608053E-2</v>
      </c>
      <c r="AS538">
        <v>1.0579543681775057E-3</v>
      </c>
    </row>
    <row r="539" spans="44:45" x14ac:dyDescent="0.2">
      <c r="AR539">
        <v>3.0646097920131378E-2</v>
      </c>
      <c r="AS539">
        <v>8.8087183286138498E-4</v>
      </c>
    </row>
    <row r="540" spans="44:45" x14ac:dyDescent="0.2">
      <c r="AR540">
        <v>2.884442760979504E-2</v>
      </c>
      <c r="AS540">
        <v>7.0378929754526416E-4</v>
      </c>
    </row>
    <row r="541" spans="44:45" x14ac:dyDescent="0.2">
      <c r="AR541">
        <v>2.7308334358920508E-2</v>
      </c>
      <c r="AS541">
        <v>5.2670676222914346E-4</v>
      </c>
    </row>
    <row r="542" spans="44:45" x14ac:dyDescent="0.2">
      <c r="AR542">
        <v>2.6084778735805985E-2</v>
      </c>
      <c r="AS542">
        <v>3.4962422691302265E-4</v>
      </c>
    </row>
    <row r="543" spans="44:45" x14ac:dyDescent="0.2">
      <c r="AR543">
        <v>2.5219291680155916E-2</v>
      </c>
      <c r="AS543">
        <v>1.7254169159691078E-4</v>
      </c>
    </row>
    <row r="544" spans="44:45" x14ac:dyDescent="0.2">
      <c r="AR544">
        <v>2.4749466639042352E-2</v>
      </c>
      <c r="AS544">
        <v>-4.54084371920998E-6</v>
      </c>
    </row>
    <row r="545" spans="44:45" x14ac:dyDescent="0.2">
      <c r="AR545">
        <v>2.4697893835321765E-2</v>
      </c>
      <c r="AS545">
        <v>-1.8162337903533074E-4</v>
      </c>
    </row>
    <row r="546" spans="44:45" x14ac:dyDescent="0.2">
      <c r="AR546">
        <v>2.5067154920334414E-2</v>
      </c>
      <c r="AS546">
        <v>-3.587059143514515E-4</v>
      </c>
    </row>
    <row r="547" spans="44:45" x14ac:dyDescent="0.2">
      <c r="AR547">
        <v>2.5839214125331536E-2</v>
      </c>
      <c r="AS547">
        <v>-5.357884496675721E-4</v>
      </c>
    </row>
    <row r="548" spans="44:45" x14ac:dyDescent="0.2">
      <c r="AR548">
        <v>2.6979513567610622E-2</v>
      </c>
      <c r="AS548">
        <v>-7.1287098498369302E-4</v>
      </c>
    </row>
    <row r="549" spans="44:45" x14ac:dyDescent="0.2">
      <c r="AR549">
        <v>2.8443799904205917E-2</v>
      </c>
      <c r="AS549">
        <v>-8.8995352029981373E-4</v>
      </c>
    </row>
    <row r="550" spans="44:45" x14ac:dyDescent="0.2">
      <c r="AR550">
        <v>3.0184959641377514E-2</v>
      </c>
      <c r="AS550">
        <v>-1.0670360556159343E-3</v>
      </c>
    </row>
    <row r="551" spans="44:45" x14ac:dyDescent="0.2">
      <c r="AR551">
        <v>3.2158051231816587E-2</v>
      </c>
      <c r="AS551">
        <v>-1.244118590932055E-3</v>
      </c>
    </row>
    <row r="552" spans="44:45" x14ac:dyDescent="0.2">
      <c r="AR552">
        <v>3.4323099574778457E-2</v>
      </c>
      <c r="AS552">
        <v>-1.421201126248176E-3</v>
      </c>
    </row>
    <row r="553" spans="44:45" x14ac:dyDescent="0.2">
      <c r="AR553">
        <v>3.6646098083256286E-2</v>
      </c>
      <c r="AS553">
        <v>-1.5982836615642967E-3</v>
      </c>
    </row>
    <row r="554" spans="44:45" x14ac:dyDescent="0.2">
      <c r="AR554">
        <v>3.9098903820319428E-2</v>
      </c>
      <c r="AS554">
        <v>-1.7753661968804176E-3</v>
      </c>
    </row>
    <row r="555" spans="44:45" x14ac:dyDescent="0.2">
      <c r="AR555">
        <v>4.1658594432469803E-2</v>
      </c>
      <c r="AS555">
        <v>-1.9524487321965383E-3</v>
      </c>
    </row>
    <row r="556" spans="44:45" x14ac:dyDescent="0.2">
      <c r="AR556">
        <v>4.4306648881887747E-2</v>
      </c>
      <c r="AS556">
        <v>-2.1295312675126592E-3</v>
      </c>
    </row>
    <row r="557" spans="44:45" x14ac:dyDescent="0.2">
      <c r="AR557">
        <v>4.7028142798884072E-2</v>
      </c>
      <c r="AS557">
        <v>-2.3066138028287803E-3</v>
      </c>
    </row>
    <row r="558" spans="44:45" x14ac:dyDescent="0.2">
      <c r="AR558">
        <v>4.9811040242069282E-2</v>
      </c>
      <c r="AS558">
        <v>-2.4836963381449006E-3</v>
      </c>
    </row>
    <row r="559" spans="44:45" x14ac:dyDescent="0.2">
      <c r="AR559">
        <v>5.2645604562938812E-2</v>
      </c>
      <c r="AS559">
        <v>-2.6607788734610213E-3</v>
      </c>
    </row>
    <row r="560" spans="44:45" x14ac:dyDescent="0.2">
      <c r="AR560">
        <v>5.6004745044139555E-2</v>
      </c>
      <c r="AS560">
        <v>2.6561679183046243E-3</v>
      </c>
    </row>
    <row r="561" spans="44:45" x14ac:dyDescent="0.2">
      <c r="AR561">
        <v>5.3107895224327524E-2</v>
      </c>
      <c r="AS561">
        <v>2.479085382988504E-3</v>
      </c>
    </row>
    <row r="562" spans="44:45" x14ac:dyDescent="0.2">
      <c r="AR562">
        <v>5.0252283906034485E-2</v>
      </c>
      <c r="AS562">
        <v>2.3020028476723828E-3</v>
      </c>
    </row>
    <row r="563" spans="44:45" x14ac:dyDescent="0.2">
      <c r="AR563">
        <v>4.7445357784536728E-2</v>
      </c>
      <c r="AS563">
        <v>2.1249203123562617E-3</v>
      </c>
    </row>
    <row r="564" spans="44:45" x14ac:dyDescent="0.2">
      <c r="AR564">
        <v>4.4696290089314729E-2</v>
      </c>
      <c r="AS564">
        <v>1.9478377770401414E-3</v>
      </c>
    </row>
    <row r="565" spans="44:45" x14ac:dyDescent="0.2">
      <c r="AR565">
        <v>4.2016439105534806E-2</v>
      </c>
      <c r="AS565">
        <v>1.7707552417240207E-3</v>
      </c>
    </row>
    <row r="566" spans="44:45" x14ac:dyDescent="0.2">
      <c r="AR566">
        <v>3.9419923863263866E-2</v>
      </c>
      <c r="AS566">
        <v>1.5936727064078998E-3</v>
      </c>
    </row>
    <row r="567" spans="44:45" x14ac:dyDescent="0.2">
      <c r="AR567">
        <v>3.6924329033543618E-2</v>
      </c>
      <c r="AS567">
        <v>1.4165901710917791E-3</v>
      </c>
    </row>
    <row r="568" spans="44:45" x14ac:dyDescent="0.2">
      <c r="AR568">
        <v>3.4551529440601192E-2</v>
      </c>
      <c r="AS568">
        <v>1.2395076357756586E-3</v>
      </c>
    </row>
    <row r="569" spans="44:45" x14ac:dyDescent="0.2">
      <c r="AR569">
        <v>3.2328574569682696E-2</v>
      </c>
      <c r="AS569">
        <v>1.0624251004595377E-3</v>
      </c>
    </row>
    <row r="570" spans="44:45" x14ac:dyDescent="0.2">
      <c r="AR570">
        <v>3.0288474964015686E-2</v>
      </c>
      <c r="AS570">
        <v>8.8534256514341688E-4</v>
      </c>
    </row>
    <row r="571" spans="44:45" x14ac:dyDescent="0.2">
      <c r="AR571">
        <v>2.8470566072692358E-2</v>
      </c>
      <c r="AS571">
        <v>7.0826002982729607E-4</v>
      </c>
    </row>
    <row r="572" spans="44:45" x14ac:dyDescent="0.2">
      <c r="AR572">
        <v>2.6919899410449945E-2</v>
      </c>
      <c r="AS572">
        <v>5.3117749451117525E-4</v>
      </c>
    </row>
    <row r="573" spans="44:45" x14ac:dyDescent="0.2">
      <c r="AR573">
        <v>2.5684923027983007E-2</v>
      </c>
      <c r="AS573">
        <v>3.540949591950546E-4</v>
      </c>
    </row>
    <row r="574" spans="44:45" x14ac:dyDescent="0.2">
      <c r="AR574">
        <v>2.4812819117414842E-2</v>
      </c>
      <c r="AS574">
        <v>1.7701242387894273E-4</v>
      </c>
    </row>
    <row r="575" spans="44:45" x14ac:dyDescent="0.2">
      <c r="AR575">
        <v>2.4342620012421566E-2</v>
      </c>
      <c r="AS575">
        <v>-7.0111437178028811E-8</v>
      </c>
    </row>
    <row r="576" spans="44:45" x14ac:dyDescent="0.2">
      <c r="AR576">
        <v>2.4297669445858629E-2</v>
      </c>
      <c r="AS576">
        <v>-1.7715264675329878E-4</v>
      </c>
    </row>
    <row r="577" spans="44:45" x14ac:dyDescent="0.2">
      <c r="AR577">
        <v>2.468029106081902E-2</v>
      </c>
      <c r="AS577">
        <v>-3.5423518206941954E-4</v>
      </c>
    </row>
    <row r="578" spans="44:45" x14ac:dyDescent="0.2">
      <c r="AR578">
        <v>2.5471223529872699E-2</v>
      </c>
      <c r="AS578">
        <v>-5.313177173855403E-4</v>
      </c>
    </row>
    <row r="579" spans="44:45" x14ac:dyDescent="0.2">
      <c r="AR579">
        <v>2.6634115796966187E-2</v>
      </c>
      <c r="AS579">
        <v>-7.0840025270166112E-4</v>
      </c>
    </row>
    <row r="580" spans="44:45" x14ac:dyDescent="0.2">
      <c r="AR580">
        <v>2.8122863570040891E-2</v>
      </c>
      <c r="AS580">
        <v>-8.8548278801778182E-4</v>
      </c>
    </row>
    <row r="581" spans="44:45" x14ac:dyDescent="0.2">
      <c r="AR581">
        <v>2.988881431886398E-2</v>
      </c>
      <c r="AS581">
        <v>-1.0625653233339023E-3</v>
      </c>
    </row>
    <row r="582" spans="44:45" x14ac:dyDescent="0.2">
      <c r="AR582">
        <v>3.1885943961428985E-2</v>
      </c>
      <c r="AS582">
        <v>-1.239647858650023E-3</v>
      </c>
    </row>
    <row r="583" spans="44:45" x14ac:dyDescent="0.2">
      <c r="AR583">
        <v>3.4073627017837671E-2</v>
      </c>
      <c r="AS583">
        <v>-1.4167303939661442E-3</v>
      </c>
    </row>
    <row r="584" spans="44:45" x14ac:dyDescent="0.2">
      <c r="AR584">
        <v>3.6417538754088125E-2</v>
      </c>
      <c r="AS584">
        <v>-1.5938129292822646E-3</v>
      </c>
    </row>
    <row r="585" spans="44:45" x14ac:dyDescent="0.2">
      <c r="AR585">
        <v>3.8889441170782718E-2</v>
      </c>
      <c r="AS585">
        <v>-1.7708954645983856E-3</v>
      </c>
    </row>
    <row r="586" spans="44:45" x14ac:dyDescent="0.2">
      <c r="AR586">
        <v>4.1466451200476449E-2</v>
      </c>
      <c r="AS586">
        <v>-1.9479779999145063E-3</v>
      </c>
    </row>
    <row r="587" spans="44:45" x14ac:dyDescent="0.2">
      <c r="AR587">
        <v>4.4130159195981677E-2</v>
      </c>
      <c r="AS587">
        <v>-2.1250605352306274E-3</v>
      </c>
    </row>
    <row r="588" spans="44:45" x14ac:dyDescent="0.2">
      <c r="AR588">
        <v>4.6865784545650616E-2</v>
      </c>
      <c r="AS588">
        <v>-2.3021430705467481E-3</v>
      </c>
    </row>
    <row r="589" spans="44:45" x14ac:dyDescent="0.2">
      <c r="AR589">
        <v>4.9661443861525691E-2</v>
      </c>
      <c r="AS589">
        <v>-2.4792256058628688E-3</v>
      </c>
    </row>
    <row r="590" spans="44:45" x14ac:dyDescent="0.2">
      <c r="AR590">
        <v>5.2507548854036759E-2</v>
      </c>
      <c r="AS590">
        <v>-2.6563081411789891E-3</v>
      </c>
    </row>
    <row r="591" spans="44:45" x14ac:dyDescent="0.2">
      <c r="AR591">
        <v>5.5784649934817097E-2</v>
      </c>
      <c r="AS591">
        <v>2.6606386505866565E-3</v>
      </c>
    </row>
    <row r="592" spans="44:45" x14ac:dyDescent="0.2">
      <c r="AR592">
        <v>5.2879182732872065E-2</v>
      </c>
      <c r="AS592">
        <v>2.4835561152705358E-3</v>
      </c>
    </row>
    <row r="593" spans="44:45" x14ac:dyDescent="0.2">
      <c r="AR593">
        <v>5.0014149993360159E-2</v>
      </c>
      <c r="AS593">
        <v>2.3064735799544146E-3</v>
      </c>
    </row>
    <row r="594" spans="44:45" x14ac:dyDescent="0.2">
      <c r="AR594">
        <v>4.7196915868895996E-2</v>
      </c>
      <c r="AS594">
        <v>2.1293910446382939E-3</v>
      </c>
    </row>
    <row r="595" spans="44:45" x14ac:dyDescent="0.2">
      <c r="AR595">
        <v>4.443657244239739E-2</v>
      </c>
      <c r="AS595">
        <v>1.9523085093221732E-3</v>
      </c>
    </row>
    <row r="596" spans="44:45" x14ac:dyDescent="0.2">
      <c r="AR596">
        <v>4.1744406909629009E-2</v>
      </c>
      <c r="AS596">
        <v>1.7752259740060527E-3</v>
      </c>
    </row>
    <row r="597" spans="44:45" x14ac:dyDescent="0.2">
      <c r="AR597">
        <v>3.9134492215440825E-2</v>
      </c>
      <c r="AS597">
        <v>1.5981434386899318E-3</v>
      </c>
    </row>
    <row r="598" spans="44:45" x14ac:dyDescent="0.2">
      <c r="AR598">
        <v>3.6624416563265288E-2</v>
      </c>
      <c r="AS598">
        <v>1.4210609033738111E-3</v>
      </c>
    </row>
    <row r="599" spans="44:45" x14ac:dyDescent="0.2">
      <c r="AR599">
        <v>3.4236146558195325E-2</v>
      </c>
      <c r="AS599">
        <v>1.2439783680576906E-3</v>
      </c>
    </row>
    <row r="600" spans="44:45" x14ac:dyDescent="0.2">
      <c r="AR600">
        <v>3.1996968741184593E-2</v>
      </c>
      <c r="AS600">
        <v>1.0668958327415697E-3</v>
      </c>
    </row>
    <row r="601" spans="44:45" x14ac:dyDescent="0.2">
      <c r="AR601">
        <v>2.9940352720198952E-2</v>
      </c>
      <c r="AS601">
        <v>8.8981329742544889E-4</v>
      </c>
    </row>
    <row r="602" spans="44:45" x14ac:dyDescent="0.2">
      <c r="AR602">
        <v>2.8106402621306259E-2</v>
      </c>
      <c r="AS602">
        <v>7.1273076210932797E-4</v>
      </c>
    </row>
    <row r="603" spans="44:45" x14ac:dyDescent="0.2">
      <c r="AR603">
        <v>2.6541315915520919E-2</v>
      </c>
      <c r="AS603">
        <v>5.3564822679320727E-4</v>
      </c>
    </row>
    <row r="604" spans="44:45" x14ac:dyDescent="0.2">
      <c r="AR604">
        <v>2.5295048283398527E-2</v>
      </c>
      <c r="AS604">
        <v>3.5856569147708656E-4</v>
      </c>
    </row>
    <row r="605" spans="44:45" x14ac:dyDescent="0.2">
      <c r="AR605">
        <v>2.4416468207070999E-2</v>
      </c>
      <c r="AS605">
        <v>1.8148315616097466E-4</v>
      </c>
    </row>
    <row r="606" spans="44:45" x14ac:dyDescent="0.2">
      <c r="AR606">
        <v>2.3946081238269839E-2</v>
      </c>
      <c r="AS606">
        <v>4.4006208448539257E-6</v>
      </c>
    </row>
    <row r="607" spans="44:45" x14ac:dyDescent="0.2">
      <c r="AR607">
        <v>2.3907992984527043E-2</v>
      </c>
      <c r="AS607">
        <v>-1.7268191447126683E-4</v>
      </c>
    </row>
    <row r="608" spans="44:45" x14ac:dyDescent="0.2">
      <c r="AR608">
        <v>2.4304235954706249E-2</v>
      </c>
      <c r="AS608">
        <v>-3.4976444978738759E-4</v>
      </c>
    </row>
    <row r="609" spans="44:45" x14ac:dyDescent="0.2">
      <c r="AR609">
        <v>2.5114260432100001E-2</v>
      </c>
      <c r="AS609">
        <v>-5.2684698510350829E-4</v>
      </c>
    </row>
    <row r="610" spans="44:45" x14ac:dyDescent="0.2">
      <c r="AR610">
        <v>2.6299861286252394E-2</v>
      </c>
      <c r="AS610">
        <v>-7.0392952041962911E-4</v>
      </c>
    </row>
    <row r="611" spans="44:45" x14ac:dyDescent="0.2">
      <c r="AR611">
        <v>2.7813050268108982E-2</v>
      </c>
      <c r="AS611">
        <v>-8.8101205573574992E-4</v>
      </c>
    </row>
    <row r="612" spans="44:45" x14ac:dyDescent="0.2">
      <c r="AR612">
        <v>2.9603635953579465E-2</v>
      </c>
      <c r="AS612">
        <v>-1.0580945910518703E-3</v>
      </c>
    </row>
    <row r="613" spans="44:45" x14ac:dyDescent="0.2">
      <c r="AR613">
        <v>3.1624534669196867E-2</v>
      </c>
      <c r="AS613">
        <v>-1.2351771263679912E-3</v>
      </c>
    </row>
    <row r="614" spans="44:45" x14ac:dyDescent="0.2">
      <c r="AR614">
        <v>3.3834502498631076E-2</v>
      </c>
      <c r="AS614">
        <v>-1.4122596616841121E-3</v>
      </c>
    </row>
    <row r="615" spans="44:45" x14ac:dyDescent="0.2">
      <c r="AR615">
        <v>3.6198927615773042E-2</v>
      </c>
      <c r="AS615">
        <v>-1.5893421970002326E-3</v>
      </c>
    </row>
    <row r="616" spans="44:45" x14ac:dyDescent="0.2">
      <c r="AR616">
        <v>3.8689502408916374E-2</v>
      </c>
      <c r="AS616">
        <v>-1.7664247323163536E-3</v>
      </c>
    </row>
    <row r="617" spans="44:45" x14ac:dyDescent="0.2">
      <c r="AR617">
        <v>4.1283401842418244E-2</v>
      </c>
      <c r="AS617">
        <v>-1.9435072676324743E-3</v>
      </c>
    </row>
    <row r="618" spans="44:45" x14ac:dyDescent="0.2">
      <c r="AR618">
        <v>4.3962340402111028E-2</v>
      </c>
      <c r="AS618">
        <v>-2.1205898029485952E-3</v>
      </c>
    </row>
    <row r="619" spans="44:45" x14ac:dyDescent="0.2">
      <c r="AR619">
        <v>4.6711689270406948E-2</v>
      </c>
      <c r="AS619">
        <v>-2.2976723382647163E-3</v>
      </c>
    </row>
    <row r="620" spans="44:45" x14ac:dyDescent="0.2">
      <c r="AR620">
        <v>4.9519722235433487E-2</v>
      </c>
      <c r="AS620">
        <v>-2.4747548735808366E-3</v>
      </c>
    </row>
    <row r="621" spans="44:45" x14ac:dyDescent="0.2">
      <c r="AR621">
        <v>5.2377001641649795E-2</v>
      </c>
      <c r="AS621">
        <v>-2.6518374088969573E-3</v>
      </c>
    </row>
    <row r="622" spans="44:45" x14ac:dyDescent="0.2">
      <c r="AR622">
        <v>5.5571102892507898E-2</v>
      </c>
      <c r="AS622">
        <v>2.6651093828686883E-3</v>
      </c>
    </row>
    <row r="623" spans="44:45" x14ac:dyDescent="0.2">
      <c r="AR623">
        <v>5.2657307235400831E-2</v>
      </c>
      <c r="AS623">
        <v>2.4880268475525676E-3</v>
      </c>
    </row>
    <row r="624" spans="44:45" x14ac:dyDescent="0.2">
      <c r="AR624">
        <v>4.9783159489857211E-2</v>
      </c>
      <c r="AS624">
        <v>2.3109443122364469E-3</v>
      </c>
    </row>
    <row r="625" spans="44:45" x14ac:dyDescent="0.2">
      <c r="AR625">
        <v>4.6955940702079313E-2</v>
      </c>
      <c r="AS625">
        <v>2.1338617769203257E-3</v>
      </c>
    </row>
    <row r="626" spans="44:45" x14ac:dyDescent="0.2">
      <c r="AR626">
        <v>4.4184660240373964E-2</v>
      </c>
      <c r="AS626">
        <v>1.9567792416042055E-3</v>
      </c>
    </row>
    <row r="627" spans="44:45" x14ac:dyDescent="0.2">
      <c r="AR627">
        <v>4.1480531202153677E-2</v>
      </c>
      <c r="AS627">
        <v>1.7796967062880848E-3</v>
      </c>
    </row>
    <row r="628" spans="44:45" x14ac:dyDescent="0.2">
      <c r="AR628">
        <v>3.8857575477426166E-2</v>
      </c>
      <c r="AS628">
        <v>1.6026141709719638E-3</v>
      </c>
    </row>
    <row r="629" spans="44:45" x14ac:dyDescent="0.2">
      <c r="AR629">
        <v>3.6333377355681706E-2</v>
      </c>
      <c r="AS629">
        <v>1.4255316356558429E-3</v>
      </c>
    </row>
    <row r="630" spans="44:45" x14ac:dyDescent="0.2">
      <c r="AR630">
        <v>3.3929985014325065E-2</v>
      </c>
      <c r="AS630">
        <v>1.2484491003397224E-3</v>
      </c>
    </row>
    <row r="631" spans="44:45" x14ac:dyDescent="0.2">
      <c r="AR631">
        <v>3.1674909486685963E-2</v>
      </c>
      <c r="AS631">
        <v>1.0713665650236013E-3</v>
      </c>
    </row>
    <row r="632" spans="44:45" x14ac:dyDescent="0.2">
      <c r="AR632">
        <v>2.960206637757979E-2</v>
      </c>
      <c r="AS632">
        <v>8.942840297074808E-4</v>
      </c>
    </row>
    <row r="633" spans="44:45" x14ac:dyDescent="0.2">
      <c r="AR633">
        <v>2.7752319030506203E-2</v>
      </c>
      <c r="AS633">
        <v>7.1720149439135998E-4</v>
      </c>
    </row>
    <row r="634" spans="44:45" x14ac:dyDescent="0.2">
      <c r="AR634">
        <v>2.617301137115903E-2</v>
      </c>
      <c r="AS634">
        <v>5.4011895907523928E-4</v>
      </c>
    </row>
    <row r="635" spans="44:45" x14ac:dyDescent="0.2">
      <c r="AR635">
        <v>2.4915623046877815E-2</v>
      </c>
      <c r="AS635">
        <v>3.6303642375911852E-4</v>
      </c>
    </row>
    <row r="636" spans="44:45" x14ac:dyDescent="0.2">
      <c r="AR636">
        <v>2.4030739778643218E-2</v>
      </c>
      <c r="AS636">
        <v>1.8595388844300662E-4</v>
      </c>
    </row>
    <row r="637" spans="44:45" x14ac:dyDescent="0.2">
      <c r="AR637">
        <v>2.356037078908322E-2</v>
      </c>
      <c r="AS637">
        <v>8.8713531268858786E-6</v>
      </c>
    </row>
    <row r="638" spans="44:45" x14ac:dyDescent="0.2">
      <c r="AR638">
        <v>2.3529388518292858E-2</v>
      </c>
      <c r="AS638">
        <v>-1.682111821892349E-4</v>
      </c>
    </row>
    <row r="639" spans="44:45" x14ac:dyDescent="0.2">
      <c r="AR639">
        <v>2.3939498977337097E-2</v>
      </c>
      <c r="AS639">
        <v>-3.4529371750535563E-4</v>
      </c>
    </row>
    <row r="640" spans="44:45" x14ac:dyDescent="0.2">
      <c r="AR640">
        <v>2.476880161498618E-2</v>
      </c>
      <c r="AS640">
        <v>-5.2237625282147628E-4</v>
      </c>
    </row>
    <row r="641" spans="44:45" x14ac:dyDescent="0.2">
      <c r="AR641">
        <v>2.5977180187900038E-2</v>
      </c>
      <c r="AS641">
        <v>-6.994587881375972E-4</v>
      </c>
    </row>
    <row r="642" spans="44:45" x14ac:dyDescent="0.2">
      <c r="AR642">
        <v>2.7514735733824094E-2</v>
      </c>
      <c r="AS642">
        <v>-8.7654132345371791E-4</v>
      </c>
    </row>
    <row r="643" spans="44:45" x14ac:dyDescent="0.2">
      <c r="AR643">
        <v>2.9329744448344457E-2</v>
      </c>
      <c r="AS643">
        <v>-1.0536238587698385E-3</v>
      </c>
    </row>
    <row r="644" spans="44:45" x14ac:dyDescent="0.2">
      <c r="AR644">
        <v>3.1374090763298217E-2</v>
      </c>
      <c r="AS644">
        <v>-1.2307063940859594E-3</v>
      </c>
    </row>
    <row r="645" spans="44:45" x14ac:dyDescent="0.2">
      <c r="AR645">
        <v>3.3605946913569079E-2</v>
      </c>
      <c r="AS645">
        <v>-1.4077889294020803E-3</v>
      </c>
    </row>
    <row r="646" spans="44:45" x14ac:dyDescent="0.2">
      <c r="AR646">
        <v>3.5990445948988141E-2</v>
      </c>
      <c r="AS646">
        <v>-1.5848714647182008E-3</v>
      </c>
    </row>
    <row r="647" spans="44:45" x14ac:dyDescent="0.2">
      <c r="AR647">
        <v>3.8499235916728498E-2</v>
      </c>
      <c r="AS647">
        <v>-1.7619540000343218E-3</v>
      </c>
    </row>
    <row r="648" spans="44:45" x14ac:dyDescent="0.2">
      <c r="AR648">
        <v>4.1109567835873238E-2</v>
      </c>
      <c r="AS648">
        <v>-1.9390365353504422E-3</v>
      </c>
    </row>
    <row r="649" spans="44:45" x14ac:dyDescent="0.2">
      <c r="AR649">
        <v>4.3803292159928758E-2</v>
      </c>
      <c r="AS649">
        <v>-2.1161190706665634E-3</v>
      </c>
    </row>
    <row r="650" spans="44:45" x14ac:dyDescent="0.2">
      <c r="AR650">
        <v>4.6565939004376944E-2</v>
      </c>
      <c r="AS650">
        <v>-2.2932016059826841E-3</v>
      </c>
    </row>
    <row r="651" spans="44:45" x14ac:dyDescent="0.2">
      <c r="AR651">
        <v>4.938594315780654E-2</v>
      </c>
      <c r="AS651">
        <v>-2.4702841412988048E-3</v>
      </c>
    </row>
    <row r="652" spans="44:45" x14ac:dyDescent="0.2">
      <c r="AR652">
        <v>5.2254019201668202E-2</v>
      </c>
      <c r="AS652">
        <v>-2.6473666766149255E-3</v>
      </c>
    </row>
    <row r="653" spans="44:45" x14ac:dyDescent="0.2">
      <c r="AR653">
        <v>5.5364179687573317E-2</v>
      </c>
      <c r="AS653">
        <v>2.6695801151507201E-3</v>
      </c>
    </row>
    <row r="654" spans="44:45" x14ac:dyDescent="0.2">
      <c r="AR654">
        <v>5.2442355510778818E-2</v>
      </c>
      <c r="AS654">
        <v>2.4924975798345998E-3</v>
      </c>
    </row>
    <row r="655" spans="44:45" x14ac:dyDescent="0.2">
      <c r="AR655">
        <v>4.9559412279358069E-2</v>
      </c>
      <c r="AS655">
        <v>2.3154150445184787E-3</v>
      </c>
    </row>
    <row r="656" spans="44:45" x14ac:dyDescent="0.2">
      <c r="AR656">
        <v>4.6722547815239338E-2</v>
      </c>
      <c r="AS656">
        <v>2.138332509202358E-3</v>
      </c>
    </row>
    <row r="657" spans="44:45" x14ac:dyDescent="0.2">
      <c r="AR657">
        <v>4.3940687729423757E-2</v>
      </c>
      <c r="AS657">
        <v>1.9612499738862373E-3</v>
      </c>
    </row>
    <row r="658" spans="44:45" x14ac:dyDescent="0.2">
      <c r="AR658">
        <v>4.1224968609297974E-2</v>
      </c>
      <c r="AS658">
        <v>1.7841674385701166E-3</v>
      </c>
    </row>
    <row r="659" spans="44:45" x14ac:dyDescent="0.2">
      <c r="AR659">
        <v>3.8589356958310929E-2</v>
      </c>
      <c r="AS659">
        <v>1.6070849032539956E-3</v>
      </c>
    </row>
    <row r="660" spans="44:45" x14ac:dyDescent="0.2">
      <c r="AR660">
        <v>3.6051426310060787E-2</v>
      </c>
      <c r="AS660">
        <v>1.4300023679378749E-3</v>
      </c>
    </row>
    <row r="661" spans="44:45" x14ac:dyDescent="0.2">
      <c r="AR661">
        <v>3.3633296633529895E-2</v>
      </c>
      <c r="AS661">
        <v>1.2529198326217542E-3</v>
      </c>
    </row>
    <row r="662" spans="44:45" x14ac:dyDescent="0.2">
      <c r="AR662">
        <v>3.1362690905018788E-2</v>
      </c>
      <c r="AS662">
        <v>1.0758372973056333E-3</v>
      </c>
    </row>
    <row r="663" spans="44:45" x14ac:dyDescent="0.2">
      <c r="AR663">
        <v>2.9273956925635287E-2</v>
      </c>
      <c r="AS663">
        <v>8.9875476198951281E-4</v>
      </c>
    </row>
    <row r="664" spans="44:45" x14ac:dyDescent="0.2">
      <c r="AR664">
        <v>2.7408705957772204E-2</v>
      </c>
      <c r="AS664">
        <v>7.21672226673392E-4</v>
      </c>
    </row>
    <row r="665" spans="44:45" x14ac:dyDescent="0.2">
      <c r="AR665">
        <v>2.5815425725537647E-2</v>
      </c>
      <c r="AS665">
        <v>5.4458969135727118E-4</v>
      </c>
    </row>
    <row r="666" spans="44:45" x14ac:dyDescent="0.2">
      <c r="AR666">
        <v>2.4547131877621683E-2</v>
      </c>
      <c r="AS666">
        <v>3.6750715604115048E-4</v>
      </c>
    </row>
    <row r="667" spans="44:45" x14ac:dyDescent="0.2">
      <c r="AR667">
        <v>2.3656153456541016E-2</v>
      </c>
      <c r="AS667">
        <v>1.9042462072503858E-4</v>
      </c>
    </row>
    <row r="668" spans="44:45" x14ac:dyDescent="0.2">
      <c r="AR668">
        <v>2.3186029073926143E-2</v>
      </c>
      <c r="AS668">
        <v>1.3342085408917828E-5</v>
      </c>
    </row>
    <row r="669" spans="44:45" x14ac:dyDescent="0.2">
      <c r="AR669">
        <v>2.3162398990388383E-2</v>
      </c>
      <c r="AS669">
        <v>-1.6374044990720294E-4</v>
      </c>
    </row>
    <row r="670" spans="44:45" x14ac:dyDescent="0.2">
      <c r="AR670">
        <v>2.3586605196136371E-2</v>
      </c>
      <c r="AS670">
        <v>-3.4082298522332372E-4</v>
      </c>
    </row>
    <row r="671" spans="44:45" x14ac:dyDescent="0.2">
      <c r="AR671">
        <v>2.4435335014735032E-2</v>
      </c>
      <c r="AS671">
        <v>-5.1790552053944438E-4</v>
      </c>
    </row>
    <row r="672" spans="44:45" x14ac:dyDescent="0.2">
      <c r="AR672">
        <v>2.5666509010804923E-2</v>
      </c>
      <c r="AS672">
        <v>-6.9498805585556519E-4</v>
      </c>
    </row>
    <row r="673" spans="44:45" x14ac:dyDescent="0.2">
      <c r="AR673">
        <v>2.7228297912954287E-2</v>
      </c>
      <c r="AS673">
        <v>-8.7207059117168589E-4</v>
      </c>
    </row>
    <row r="674" spans="44:45" x14ac:dyDescent="0.2">
      <c r="AR674">
        <v>2.9067458860156964E-2</v>
      </c>
      <c r="AS674">
        <v>-1.0491531264878067E-3</v>
      </c>
    </row>
    <row r="675" spans="44:45" x14ac:dyDescent="0.2">
      <c r="AR675">
        <v>3.1134876856231664E-2</v>
      </c>
      <c r="AS675">
        <v>-1.2262356618039274E-3</v>
      </c>
    </row>
    <row r="676" spans="44:45" x14ac:dyDescent="0.2">
      <c r="AR676">
        <v>3.3388177309250783E-2</v>
      </c>
      <c r="AS676">
        <v>-1.4033181971200483E-3</v>
      </c>
    </row>
    <row r="677" spans="44:45" x14ac:dyDescent="0.2">
      <c r="AR677">
        <v>3.5792270759630394E-2</v>
      </c>
      <c r="AS677">
        <v>-1.5804007324361688E-3</v>
      </c>
    </row>
    <row r="678" spans="44:45" x14ac:dyDescent="0.2">
      <c r="AR678">
        <v>3.8318785773336868E-2</v>
      </c>
      <c r="AS678">
        <v>-1.7574832677522897E-3</v>
      </c>
    </row>
    <row r="679" spans="44:45" x14ac:dyDescent="0.2">
      <c r="AR679">
        <v>4.0945066553499956E-2</v>
      </c>
      <c r="AS679">
        <v>-1.9345658030684107E-3</v>
      </c>
    </row>
    <row r="680" spans="44:45" x14ac:dyDescent="0.2">
      <c r="AR680">
        <v>4.3653110334931043E-2</v>
      </c>
      <c r="AS680">
        <v>-2.1116483383845312E-3</v>
      </c>
    </row>
    <row r="681" spans="44:45" x14ac:dyDescent="0.2">
      <c r="AR681">
        <v>4.642861233843041E-2</v>
      </c>
      <c r="AS681">
        <v>-2.2887308737006523E-3</v>
      </c>
    </row>
    <row r="682" spans="44:45" x14ac:dyDescent="0.2">
      <c r="AR682">
        <v>4.9260171338986504E-2</v>
      </c>
      <c r="AS682">
        <v>-2.465813409016773E-3</v>
      </c>
    </row>
    <row r="683" spans="44:45" x14ac:dyDescent="0.2">
      <c r="AR683">
        <v>5.2138655064508786E-2</v>
      </c>
      <c r="AS683">
        <v>-2.6428959443328933E-3</v>
      </c>
    </row>
    <row r="684" spans="44:45" x14ac:dyDescent="0.2">
      <c r="AR684">
        <v>5.51639548592621E-2</v>
      </c>
      <c r="AS684">
        <v>2.6740508474327523E-3</v>
      </c>
    </row>
    <row r="685" spans="44:45" x14ac:dyDescent="0.2">
      <c r="AR685">
        <v>5.2234413035881097E-2</v>
      </c>
      <c r="AS685">
        <v>2.4969683121166316E-3</v>
      </c>
    </row>
    <row r="686" spans="44:45" x14ac:dyDescent="0.2">
      <c r="AR686">
        <v>4.934300689669012E-2</v>
      </c>
      <c r="AS686">
        <v>2.3198857768005109E-3</v>
      </c>
    </row>
    <row r="687" spans="44:45" x14ac:dyDescent="0.2">
      <c r="AR687">
        <v>4.6496851387228991E-2</v>
      </c>
      <c r="AS687">
        <v>2.1428032414843898E-3</v>
      </c>
    </row>
    <row r="688" spans="44:45" x14ac:dyDescent="0.2">
      <c r="AR688">
        <v>4.3704787874565582E-2</v>
      </c>
      <c r="AS688">
        <v>1.9657207061682691E-3</v>
      </c>
    </row>
    <row r="689" spans="44:45" x14ac:dyDescent="0.2">
      <c r="AR689">
        <v>4.0977874668056621E-2</v>
      </c>
      <c r="AS689">
        <v>1.7886381708521486E-3</v>
      </c>
    </row>
    <row r="690" spans="44:45" x14ac:dyDescent="0.2">
      <c r="AR690">
        <v>3.8330019258755975E-2</v>
      </c>
      <c r="AS690">
        <v>1.6115556355360276E-3</v>
      </c>
    </row>
    <row r="691" spans="44:45" x14ac:dyDescent="0.2">
      <c r="AR691">
        <v>3.577877828207271E-2</v>
      </c>
      <c r="AS691">
        <v>1.4344731002199067E-3</v>
      </c>
    </row>
    <row r="692" spans="44:45" x14ac:dyDescent="0.2">
      <c r="AR692">
        <v>3.3346334270115782E-2</v>
      </c>
      <c r="AS692">
        <v>1.2573905649037862E-3</v>
      </c>
    </row>
    <row r="693" spans="44:45" x14ac:dyDescent="0.2">
      <c r="AR693">
        <v>3.1060609750395173E-2</v>
      </c>
      <c r="AS693">
        <v>1.0803080295876653E-3</v>
      </c>
    </row>
    <row r="694" spans="44:45" x14ac:dyDescent="0.2">
      <c r="AR694">
        <v>2.895637031455869E-2</v>
      </c>
      <c r="AS694">
        <v>9.0322549427154482E-4</v>
      </c>
    </row>
    <row r="695" spans="44:45" x14ac:dyDescent="0.2">
      <c r="AR695">
        <v>2.707596204083677E-2</v>
      </c>
      <c r="AS695">
        <v>7.261429589554239E-4</v>
      </c>
    </row>
    <row r="696" spans="44:45" x14ac:dyDescent="0.2">
      <c r="AR696">
        <v>2.5469010463606112E-2</v>
      </c>
      <c r="AS696">
        <v>5.4906042363930319E-4</v>
      </c>
    </row>
    <row r="697" spans="44:45" x14ac:dyDescent="0.2">
      <c r="AR697">
        <v>2.4190074461836356E-2</v>
      </c>
      <c r="AS697">
        <v>3.7197788832318243E-4</v>
      </c>
    </row>
    <row r="698" spans="44:45" x14ac:dyDescent="0.2">
      <c r="AR698">
        <v>2.3293246786538047E-2</v>
      </c>
      <c r="AS698">
        <v>1.9489535300707051E-4</v>
      </c>
    </row>
    <row r="699" spans="44:45" x14ac:dyDescent="0.2">
      <c r="AR699">
        <v>2.2823615492804948E-2</v>
      </c>
      <c r="AS699">
        <v>1.7812817690949779E-5</v>
      </c>
    </row>
    <row r="700" spans="44:45" x14ac:dyDescent="0.2">
      <c r="AR700">
        <v>2.2807585084434364E-2</v>
      </c>
      <c r="AS700">
        <v>-1.5926971762517098E-4</v>
      </c>
    </row>
    <row r="701" spans="44:45" x14ac:dyDescent="0.2">
      <c r="AR701">
        <v>2.3246093984140345E-2</v>
      </c>
      <c r="AS701">
        <v>-3.3635225294129171E-4</v>
      </c>
    </row>
    <row r="702" spans="44:45" x14ac:dyDescent="0.2">
      <c r="AR702">
        <v>2.4114358141379688E-2</v>
      </c>
      <c r="AS702">
        <v>-5.1343478825741236E-4</v>
      </c>
    </row>
    <row r="703" spans="44:45" x14ac:dyDescent="0.2">
      <c r="AR703">
        <v>2.5368288995070792E-2</v>
      </c>
      <c r="AS703">
        <v>-6.9051732357353318E-4</v>
      </c>
    </row>
    <row r="704" spans="44:45" x14ac:dyDescent="0.2">
      <c r="AR704">
        <v>2.6954115444948305E-2</v>
      </c>
      <c r="AS704">
        <v>-8.6759985888965399E-4</v>
      </c>
    </row>
    <row r="705" spans="44:45" x14ac:dyDescent="0.2">
      <c r="AR705">
        <v>2.8817096092723118E-2</v>
      </c>
      <c r="AS705">
        <v>-1.0446823942057747E-3</v>
      </c>
    </row>
    <row r="706" spans="44:45" x14ac:dyDescent="0.2">
      <c r="AR706">
        <v>3.090715370153552E-2</v>
      </c>
      <c r="AS706">
        <v>-1.2217649295218954E-3</v>
      </c>
    </row>
    <row r="707" spans="44:45" x14ac:dyDescent="0.2">
      <c r="AR707">
        <v>3.3181406051566137E-2</v>
      </c>
      <c r="AS707">
        <v>-1.3988474648380163E-3</v>
      </c>
    </row>
    <row r="708" spans="44:45" x14ac:dyDescent="0.2">
      <c r="AR708">
        <v>3.5604574145788416E-2</v>
      </c>
      <c r="AS708">
        <v>-1.5759300001541368E-3</v>
      </c>
    </row>
    <row r="709" spans="44:45" x14ac:dyDescent="0.2">
      <c r="AR709">
        <v>3.8148291279721115E-2</v>
      </c>
      <c r="AS709">
        <v>-1.753012535470258E-3</v>
      </c>
    </row>
    <row r="710" spans="44:45" x14ac:dyDescent="0.2">
      <c r="AR710">
        <v>4.0790010908768014E-2</v>
      </c>
      <c r="AS710">
        <v>-1.9300950707863787E-3</v>
      </c>
    </row>
    <row r="711" spans="44:45" x14ac:dyDescent="0.2">
      <c r="AR711">
        <v>4.3511886734866438E-2</v>
      </c>
      <c r="AS711">
        <v>-2.1071776061024994E-3</v>
      </c>
    </row>
    <row r="712" spans="44:45" x14ac:dyDescent="0.2">
      <c r="AR712">
        <v>4.6299784226643492E-2</v>
      </c>
      <c r="AS712">
        <v>-2.2842601414186205E-3</v>
      </c>
    </row>
    <row r="713" spans="44:45" x14ac:dyDescent="0.2">
      <c r="AR713">
        <v>4.9142468258677352E-2</v>
      </c>
      <c r="AS713">
        <v>-2.4613426767347408E-3</v>
      </c>
    </row>
    <row r="714" spans="44:45" x14ac:dyDescent="0.2">
      <c r="AR714">
        <v>5.203095990457933E-2</v>
      </c>
      <c r="AS714">
        <v>-2.6384252120508615E-3</v>
      </c>
    </row>
    <row r="715" spans="44:45" x14ac:dyDescent="0.2">
      <c r="AR715">
        <v>5.4970501602223928E-2</v>
      </c>
      <c r="AS715">
        <v>2.6785215797147841E-3</v>
      </c>
    </row>
    <row r="716" spans="44:45" x14ac:dyDescent="0.2">
      <c r="AR716">
        <v>5.2033563844270096E-2</v>
      </c>
      <c r="AS716">
        <v>2.5014390443986638E-3</v>
      </c>
    </row>
    <row r="717" spans="44:45" x14ac:dyDescent="0.2">
      <c r="AR717">
        <v>4.913404035072657E-2</v>
      </c>
      <c r="AS717">
        <v>2.3243565090825427E-3</v>
      </c>
    </row>
    <row r="718" spans="44:45" x14ac:dyDescent="0.2">
      <c r="AR718">
        <v>4.6278964022041229E-2</v>
      </c>
      <c r="AS718">
        <v>2.1472739737664216E-3</v>
      </c>
    </row>
    <row r="719" spans="44:45" x14ac:dyDescent="0.2">
      <c r="AR719">
        <v>4.3477092078880036E-2</v>
      </c>
      <c r="AS719">
        <v>1.9701914384503013E-3</v>
      </c>
    </row>
    <row r="720" spans="44:45" x14ac:dyDescent="0.2">
      <c r="AR720">
        <v>4.0739403471736123E-2</v>
      </c>
      <c r="AS720">
        <v>1.7931089031341806E-3</v>
      </c>
    </row>
    <row r="721" spans="44:45" x14ac:dyDescent="0.2">
      <c r="AR721">
        <v>3.807974382458295E-2</v>
      </c>
      <c r="AS721">
        <v>1.6160263678180594E-3</v>
      </c>
    </row>
    <row r="722" spans="44:45" x14ac:dyDescent="0.2">
      <c r="AR722">
        <v>3.5515647525763736E-2</v>
      </c>
      <c r="AS722">
        <v>1.4389438325019387E-3</v>
      </c>
    </row>
    <row r="723" spans="44:45" x14ac:dyDescent="0.2">
      <c r="AR723">
        <v>3.3069351120307428E-2</v>
      </c>
      <c r="AS723">
        <v>1.2618612971858182E-3</v>
      </c>
    </row>
    <row r="724" spans="44:45" x14ac:dyDescent="0.2">
      <c r="AR724">
        <v>3.0768964603599101E-2</v>
      </c>
      <c r="AS724">
        <v>1.0847787618696973E-3</v>
      </c>
    </row>
    <row r="725" spans="44:45" x14ac:dyDescent="0.2">
      <c r="AR725">
        <v>2.8649656489255798E-2</v>
      </c>
      <c r="AS725">
        <v>9.0769622655357662E-4</v>
      </c>
    </row>
    <row r="726" spans="44:45" x14ac:dyDescent="0.2">
      <c r="AR726">
        <v>2.6754492819761042E-2</v>
      </c>
      <c r="AS726">
        <v>7.306136912374558E-4</v>
      </c>
    </row>
    <row r="727" spans="44:45" x14ac:dyDescent="0.2">
      <c r="AR727">
        <v>2.5134227460743633E-2</v>
      </c>
      <c r="AS727">
        <v>5.535311559213351E-4</v>
      </c>
    </row>
    <row r="728" spans="44:45" x14ac:dyDescent="0.2">
      <c r="AR728">
        <v>2.384496443632533E-2</v>
      </c>
      <c r="AS728">
        <v>3.7644862060521439E-4</v>
      </c>
    </row>
    <row r="729" spans="44:45" x14ac:dyDescent="0.2">
      <c r="AR729">
        <v>2.2942574023119281E-2</v>
      </c>
      <c r="AS729">
        <v>1.9936608528910247E-4</v>
      </c>
    </row>
    <row r="730" spans="44:45" x14ac:dyDescent="0.2">
      <c r="AR730">
        <v>2.2473707116505259E-2</v>
      </c>
      <c r="AS730">
        <v>2.2283549972981744E-5</v>
      </c>
    </row>
    <row r="731" spans="44:45" x14ac:dyDescent="0.2">
      <c r="AR731">
        <v>2.2465523702466329E-2</v>
      </c>
      <c r="AS731">
        <v>-1.5479898534313902E-4</v>
      </c>
    </row>
    <row r="732" spans="44:45" x14ac:dyDescent="0.2">
      <c r="AR732">
        <v>2.2918517268993643E-2</v>
      </c>
      <c r="AS732">
        <v>-3.3188152065925975E-4</v>
      </c>
    </row>
    <row r="733" spans="44:45" x14ac:dyDescent="0.2">
      <c r="AR733">
        <v>2.380637619016614E-2</v>
      </c>
      <c r="AS733">
        <v>-5.0896405597538046E-4</v>
      </c>
    </row>
    <row r="734" spans="44:45" x14ac:dyDescent="0.2">
      <c r="AR734">
        <v>2.5082964253088685E-2</v>
      </c>
      <c r="AS734">
        <v>-6.8604659129150138E-4</v>
      </c>
    </row>
    <row r="735" spans="44:45" x14ac:dyDescent="0.2">
      <c r="AR735">
        <v>2.6692565988514598E-2</v>
      </c>
      <c r="AS735">
        <v>-8.6312912660762209E-4</v>
      </c>
    </row>
    <row r="736" spans="44:45" x14ac:dyDescent="0.2">
      <c r="AR736">
        <v>2.8578969493250689E-2</v>
      </c>
      <c r="AS736">
        <v>-1.0402116619237427E-3</v>
      </c>
    </row>
    <row r="737" spans="44:45" x14ac:dyDescent="0.2">
      <c r="AR737">
        <v>3.0691177078381447E-2</v>
      </c>
      <c r="AS737">
        <v>-1.2172941972398634E-3</v>
      </c>
    </row>
    <row r="738" spans="44:45" x14ac:dyDescent="0.2">
      <c r="AR738">
        <v>3.2985839970090899E-2</v>
      </c>
      <c r="AS738">
        <v>-1.3943767325559843E-3</v>
      </c>
    </row>
    <row r="739" spans="44:45" x14ac:dyDescent="0.2">
      <c r="AR739">
        <v>3.5427522655751588E-2</v>
      </c>
      <c r="AS739">
        <v>-1.571459267872105E-3</v>
      </c>
    </row>
    <row r="740" spans="44:45" x14ac:dyDescent="0.2">
      <c r="AR740">
        <v>3.798788648280664E-2</v>
      </c>
      <c r="AS740">
        <v>-1.7485418031882259E-3</v>
      </c>
    </row>
    <row r="741" spans="44:45" x14ac:dyDescent="0.2">
      <c r="AR741">
        <v>4.0644509004942861E-2</v>
      </c>
      <c r="AS741">
        <v>-1.9256243385043466E-3</v>
      </c>
    </row>
    <row r="742" spans="44:45" x14ac:dyDescent="0.2">
      <c r="AR742">
        <v>4.3379708850920427E-2</v>
      </c>
      <c r="AS742">
        <v>-2.1027068738204676E-3</v>
      </c>
    </row>
    <row r="743" spans="44:45" x14ac:dyDescent="0.2">
      <c r="AR743">
        <v>4.6179525794921655E-2</v>
      </c>
      <c r="AS743">
        <v>-2.2797894091365883E-3</v>
      </c>
    </row>
    <row r="744" spans="44:45" x14ac:dyDescent="0.2">
      <c r="AR744">
        <v>4.9032892023747797E-2</v>
      </c>
      <c r="AS744">
        <v>-2.456871944452709E-3</v>
      </c>
    </row>
    <row r="745" spans="44:45" x14ac:dyDescent="0.2">
      <c r="AR745">
        <v>5.1930981433982663E-2</v>
      </c>
      <c r="AS745">
        <v>-2.6339544797688292E-3</v>
      </c>
    </row>
    <row r="746" spans="44:45" x14ac:dyDescent="0.2">
      <c r="AR746">
        <v>5.4783891651963686E-2</v>
      </c>
      <c r="AS746">
        <v>2.6829923119968163E-3</v>
      </c>
    </row>
    <row r="747" spans="44:45" x14ac:dyDescent="0.2">
      <c r="AR747">
        <v>5.183989038295736E-2</v>
      </c>
      <c r="AS747">
        <v>2.5059097766806956E-3</v>
      </c>
    </row>
    <row r="748" spans="44:45" x14ac:dyDescent="0.2">
      <c r="AR748">
        <v>4.8932607944145376E-2</v>
      </c>
      <c r="AS748">
        <v>2.3288272413645745E-3</v>
      </c>
    </row>
    <row r="749" spans="44:45" x14ac:dyDescent="0.2">
      <c r="AR749">
        <v>4.6068996520754718E-2</v>
      </c>
      <c r="AS749">
        <v>2.1517447060484538E-3</v>
      </c>
    </row>
    <row r="750" spans="44:45" x14ac:dyDescent="0.2">
      <c r="AR750">
        <v>4.3257729893727045E-2</v>
      </c>
      <c r="AS750">
        <v>1.9746621707323331E-3</v>
      </c>
    </row>
    <row r="751" spans="44:45" x14ac:dyDescent="0.2">
      <c r="AR751">
        <v>4.0509707300885912E-2</v>
      </c>
      <c r="AS751">
        <v>1.7975796354162124E-3</v>
      </c>
    </row>
    <row r="752" spans="44:45" x14ac:dyDescent="0.2">
      <c r="AR752">
        <v>3.7838710477019664E-2</v>
      </c>
      <c r="AS752">
        <v>1.6204971001000915E-3</v>
      </c>
    </row>
    <row r="753" spans="44:45" x14ac:dyDescent="0.2">
      <c r="AR753">
        <v>3.5262247098553613E-2</v>
      </c>
      <c r="AS753">
        <v>1.4434145647839707E-3</v>
      </c>
    </row>
    <row r="754" spans="44:45" x14ac:dyDescent="0.2">
      <c r="AR754">
        <v>3.2802599976688641E-2</v>
      </c>
      <c r="AS754">
        <v>1.2663320294678503E-3</v>
      </c>
    </row>
    <row r="755" spans="44:45" x14ac:dyDescent="0.2">
      <c r="AR755">
        <v>3.0488054954970815E-2</v>
      </c>
      <c r="AS755">
        <v>1.0892494941517293E-3</v>
      </c>
    </row>
    <row r="756" spans="44:45" x14ac:dyDescent="0.2">
      <c r="AR756">
        <v>2.8354168292500721E-2</v>
      </c>
      <c r="AS756">
        <v>9.1216695883560863E-4</v>
      </c>
    </row>
    <row r="757" spans="44:45" x14ac:dyDescent="0.2">
      <c r="AR757">
        <v>2.6444709472729165E-2</v>
      </c>
      <c r="AS757">
        <v>7.3508442351948782E-4</v>
      </c>
    </row>
    <row r="758" spans="44:45" x14ac:dyDescent="0.2">
      <c r="AR758">
        <v>2.4811547584746033E-2</v>
      </c>
      <c r="AS758">
        <v>5.58001888203367E-4</v>
      </c>
    </row>
    <row r="759" spans="44:45" x14ac:dyDescent="0.2">
      <c r="AR759">
        <v>2.3512327892376957E-2</v>
      </c>
      <c r="AS759">
        <v>3.809193528872463E-4</v>
      </c>
    </row>
    <row r="760" spans="44:45" x14ac:dyDescent="0.2">
      <c r="AR760">
        <v>2.2604704536946407E-2</v>
      </c>
      <c r="AS760">
        <v>2.0383681757113445E-4</v>
      </c>
    </row>
    <row r="761" spans="44:45" x14ac:dyDescent="0.2">
      <c r="AR761">
        <v>2.2136896946096749E-2</v>
      </c>
      <c r="AS761">
        <v>2.6754282255013692E-5</v>
      </c>
    </row>
    <row r="762" spans="44:45" x14ac:dyDescent="0.2">
      <c r="AR762">
        <v>2.213680601435165E-2</v>
      </c>
      <c r="AS762">
        <v>-1.5032825306110709E-4</v>
      </c>
    </row>
    <row r="763" spans="44:45" x14ac:dyDescent="0.2">
      <c r="AR763">
        <v>2.2604437386217539E-2</v>
      </c>
      <c r="AS763">
        <v>-3.2741078837722785E-4</v>
      </c>
    </row>
    <row r="764" spans="44:45" x14ac:dyDescent="0.2">
      <c r="AR764">
        <v>2.3511899827391429E-2</v>
      </c>
      <c r="AS764">
        <v>-5.0449332369334856E-4</v>
      </c>
    </row>
    <row r="765" spans="44:45" x14ac:dyDescent="0.2">
      <c r="AR765">
        <v>2.481097967341505E-2</v>
      </c>
      <c r="AS765">
        <v>-6.8157585900946937E-4</v>
      </c>
    </row>
    <row r="766" spans="44:45" x14ac:dyDescent="0.2">
      <c r="AR766">
        <v>2.6444024393639607E-2</v>
      </c>
      <c r="AS766">
        <v>-8.5865839432559008E-4</v>
      </c>
    </row>
    <row r="767" spans="44:45" x14ac:dyDescent="0.2">
      <c r="AR767">
        <v>2.8353387360660537E-2</v>
      </c>
      <c r="AS767">
        <v>-1.0357409296417107E-3</v>
      </c>
    </row>
    <row r="768" spans="44:45" x14ac:dyDescent="0.2">
      <c r="AR768">
        <v>3.0487196631231749E-2</v>
      </c>
      <c r="AS768">
        <v>-1.2128234649578314E-3</v>
      </c>
    </row>
    <row r="769" spans="44:45" x14ac:dyDescent="0.2">
      <c r="AR769">
        <v>3.2801679483748673E-2</v>
      </c>
      <c r="AS769">
        <v>-1.3899060002739525E-3</v>
      </c>
    </row>
    <row r="770" spans="44:45" x14ac:dyDescent="0.2">
      <c r="AR770">
        <v>3.526127664156864E-2</v>
      </c>
      <c r="AS770">
        <v>-1.566988535590073E-3</v>
      </c>
    </row>
    <row r="771" spans="44:45" x14ac:dyDescent="0.2">
      <c r="AR771">
        <v>3.783769970211398E-2</v>
      </c>
      <c r="AS771">
        <v>-1.7440710709061939E-3</v>
      </c>
    </row>
    <row r="772" spans="44:45" x14ac:dyDescent="0.2">
      <c r="AR772">
        <v>4.0508663789576474E-2</v>
      </c>
      <c r="AS772">
        <v>-1.9211536062223146E-3</v>
      </c>
    </row>
    <row r="773" spans="44:45" x14ac:dyDescent="0.2">
      <c r="AR773">
        <v>4.3256659605221459E-2</v>
      </c>
      <c r="AS773">
        <v>-2.0982361415384353E-3</v>
      </c>
    </row>
    <row r="774" spans="44:45" x14ac:dyDescent="0.2">
      <c r="AR774">
        <v>4.6067904155740774E-2</v>
      </c>
      <c r="AS774">
        <v>-2.2753186768545565E-3</v>
      </c>
    </row>
    <row r="775" spans="44:45" x14ac:dyDescent="0.2">
      <c r="AR775">
        <v>4.8931497231522611E-2</v>
      </c>
      <c r="AS775">
        <v>-2.4524012121706767E-3</v>
      </c>
    </row>
    <row r="776" spans="44:45" x14ac:dyDescent="0.2">
      <c r="AR776">
        <v>5.1838764300954902E-2</v>
      </c>
      <c r="AS776">
        <v>-2.6294837474867975E-3</v>
      </c>
    </row>
    <row r="777" spans="44:45" x14ac:dyDescent="0.2">
      <c r="AR777">
        <v>5.4604195169571761E-2</v>
      </c>
      <c r="AS777">
        <v>2.6874630442788481E-3</v>
      </c>
    </row>
    <row r="778" spans="44:45" x14ac:dyDescent="0.2">
      <c r="AR778">
        <v>5.1653473367692639E-2</v>
      </c>
      <c r="AS778">
        <v>2.5103805089627274E-3</v>
      </c>
    </row>
    <row r="779" spans="44:45" x14ac:dyDescent="0.2">
      <c r="AR779">
        <v>4.8738803090480669E-2</v>
      </c>
      <c r="AS779">
        <v>2.3332979736466067E-3</v>
      </c>
    </row>
    <row r="780" spans="44:45" x14ac:dyDescent="0.2">
      <c r="AR780">
        <v>4.5867057648750799E-2</v>
      </c>
      <c r="AS780">
        <v>2.1562154383304856E-3</v>
      </c>
    </row>
    <row r="781" spans="44:45" x14ac:dyDescent="0.2">
      <c r="AR781">
        <v>4.3046828720946166E-2</v>
      </c>
      <c r="AS781">
        <v>1.9791329030143649E-3</v>
      </c>
    </row>
    <row r="782" spans="44:45" x14ac:dyDescent="0.2">
      <c r="AR782">
        <v>4.028893624089111E-2</v>
      </c>
      <c r="AS782">
        <v>1.8020503676982444E-3</v>
      </c>
    </row>
    <row r="783" spans="44:45" x14ac:dyDescent="0.2">
      <c r="AR783">
        <v>3.7607096921062226E-2</v>
      </c>
      <c r="AS783">
        <v>1.6249678323821235E-3</v>
      </c>
    </row>
    <row r="784" spans="44:45" x14ac:dyDescent="0.2">
      <c r="AR784">
        <v>3.501878823079424E-2</v>
      </c>
      <c r="AS784">
        <v>1.4478852970660028E-3</v>
      </c>
    </row>
    <row r="785" spans="44:45" x14ac:dyDescent="0.2">
      <c r="AR785">
        <v>3.2546332426123294E-2</v>
      </c>
      <c r="AS785">
        <v>1.2708027617498823E-3</v>
      </c>
    </row>
    <row r="786" spans="44:45" x14ac:dyDescent="0.2">
      <c r="AR786">
        <v>3.0218180199106985E-2</v>
      </c>
      <c r="AS786">
        <v>1.0937202264337613E-3</v>
      </c>
    </row>
    <row r="787" spans="44:45" x14ac:dyDescent="0.2">
      <c r="AR787">
        <v>2.8070260234189934E-2</v>
      </c>
      <c r="AS787">
        <v>9.1663769111764064E-4</v>
      </c>
    </row>
    <row r="788" spans="44:45" x14ac:dyDescent="0.2">
      <c r="AR788">
        <v>2.6147027356853664E-2</v>
      </c>
      <c r="AS788">
        <v>7.3955515580151972E-4</v>
      </c>
    </row>
    <row r="789" spans="44:45" x14ac:dyDescent="0.2">
      <c r="AR789">
        <v>2.4501449028586638E-2</v>
      </c>
      <c r="AS789">
        <v>5.6247262048539901E-4</v>
      </c>
    </row>
    <row r="790" spans="44:45" x14ac:dyDescent="0.2">
      <c r="AR790">
        <v>2.3192701531220342E-2</v>
      </c>
      <c r="AS790">
        <v>3.8539008516927831E-4</v>
      </c>
    </row>
    <row r="791" spans="44:45" x14ac:dyDescent="0.2">
      <c r="AR791">
        <v>2.2280220803384758E-2</v>
      </c>
      <c r="AS791">
        <v>2.0830754985316639E-4</v>
      </c>
    </row>
    <row r="792" spans="44:45" x14ac:dyDescent="0.2">
      <c r="AR792">
        <v>2.1813791708328735E-2</v>
      </c>
      <c r="AS792">
        <v>3.1225014537045646E-5</v>
      </c>
    </row>
    <row r="793" spans="44:45" x14ac:dyDescent="0.2">
      <c r="AR793">
        <v>2.1822035039303498E-2</v>
      </c>
      <c r="AS793">
        <v>-1.4585752077907511E-4</v>
      </c>
    </row>
    <row r="794" spans="44:45" x14ac:dyDescent="0.2">
      <c r="AR794">
        <v>2.2304424510269118E-2</v>
      </c>
      <c r="AS794">
        <v>-3.2294005609519584E-4</v>
      </c>
    </row>
    <row r="795" spans="44:45" x14ac:dyDescent="0.2">
      <c r="AR795">
        <v>2.3231442639824677E-2</v>
      </c>
      <c r="AS795">
        <v>-5.0002259141131654E-4</v>
      </c>
    </row>
    <row r="796" spans="44:45" x14ac:dyDescent="0.2">
      <c r="AR796">
        <v>2.4552778588911285E-2</v>
      </c>
      <c r="AS796">
        <v>-6.7710512672743736E-4</v>
      </c>
    </row>
    <row r="797" spans="44:45" x14ac:dyDescent="0.2">
      <c r="AR797">
        <v>2.6208860728009577E-2</v>
      </c>
      <c r="AS797">
        <v>-8.5418766204355817E-4</v>
      </c>
    </row>
    <row r="798" spans="44:45" x14ac:dyDescent="0.2">
      <c r="AR798">
        <v>2.8140651374830874E-2</v>
      </c>
      <c r="AS798">
        <v>-1.0312701973596787E-3</v>
      </c>
    </row>
    <row r="799" spans="44:45" x14ac:dyDescent="0.2">
      <c r="AR799">
        <v>3.029545467318167E-2</v>
      </c>
      <c r="AS799">
        <v>-1.2083527326757996E-3</v>
      </c>
    </row>
    <row r="800" spans="44:45" x14ac:dyDescent="0.2">
      <c r="AR800">
        <v>3.2629117714478663E-2</v>
      </c>
      <c r="AS800">
        <v>-1.3854352679919205E-3</v>
      </c>
    </row>
    <row r="801" spans="44:45" x14ac:dyDescent="0.2">
      <c r="AR801">
        <v>3.5105989613045695E-2</v>
      </c>
      <c r="AS801">
        <v>-1.562517803308041E-3</v>
      </c>
    </row>
    <row r="802" spans="44:45" x14ac:dyDescent="0.2">
      <c r="AR802">
        <v>3.7697853062378821E-2</v>
      </c>
      <c r="AS802">
        <v>-1.7396003386241619E-3</v>
      </c>
    </row>
    <row r="803" spans="44:45" x14ac:dyDescent="0.2">
      <c r="AR803">
        <v>4.0382572716824307E-2</v>
      </c>
      <c r="AS803">
        <v>-1.9166828739402826E-3</v>
      </c>
    </row>
    <row r="804" spans="44:45" x14ac:dyDescent="0.2">
      <c r="AR804">
        <v>4.3142817106234119E-2</v>
      </c>
      <c r="AS804">
        <v>-2.0937654092564035E-3</v>
      </c>
    </row>
    <row r="805" spans="44:45" x14ac:dyDescent="0.2">
      <c r="AR805">
        <v>4.5964982230060722E-2</v>
      </c>
      <c r="AS805">
        <v>-2.2708479445725242E-3</v>
      </c>
    </row>
    <row r="806" spans="44:45" x14ac:dyDescent="0.2">
      <c r="AR806">
        <v>4.8838334839274515E-2</v>
      </c>
      <c r="AS806">
        <v>-2.447930479888645E-3</v>
      </c>
    </row>
    <row r="807" spans="44:45" x14ac:dyDescent="0.2">
      <c r="AR807">
        <v>5.1754349993520896E-2</v>
      </c>
      <c r="AS807">
        <v>-2.6250130152047652E-3</v>
      </c>
    </row>
    <row r="808" spans="44:45" x14ac:dyDescent="0.2">
      <c r="AR808">
        <v>5.4431480626085001E-2</v>
      </c>
      <c r="AS808">
        <v>2.6919337765608799E-3</v>
      </c>
    </row>
    <row r="809" spans="44:45" x14ac:dyDescent="0.2">
      <c r="AR809">
        <v>5.1474391637254202E-2</v>
      </c>
      <c r="AS809">
        <v>2.5148512412447597E-3</v>
      </c>
    </row>
    <row r="810" spans="44:45" x14ac:dyDescent="0.2">
      <c r="AR810">
        <v>4.8552717129100524E-2</v>
      </c>
      <c r="AS810">
        <v>2.3377687059286385E-3</v>
      </c>
    </row>
    <row r="811" spans="44:45" x14ac:dyDescent="0.2">
      <c r="AR811">
        <v>4.567325389904843E-2</v>
      </c>
      <c r="AS811">
        <v>2.1606861706125178E-3</v>
      </c>
    </row>
    <row r="812" spans="44:45" x14ac:dyDescent="0.2">
      <c r="AR812">
        <v>4.2844513508159945E-2</v>
      </c>
      <c r="AS812">
        <v>1.9836036352963967E-3</v>
      </c>
    </row>
    <row r="813" spans="44:45" x14ac:dyDescent="0.2">
      <c r="AR813">
        <v>4.0077237787680978E-2</v>
      </c>
      <c r="AS813">
        <v>1.8065210999802764E-3</v>
      </c>
    </row>
    <row r="814" spans="44:45" x14ac:dyDescent="0.2">
      <c r="AR814">
        <v>3.738507823377147E-2</v>
      </c>
      <c r="AS814">
        <v>1.6294385646641555E-3</v>
      </c>
    </row>
    <row r="815" spans="44:45" x14ac:dyDescent="0.2">
      <c r="AR815">
        <v>3.4785479662002204E-2</v>
      </c>
      <c r="AS815">
        <v>1.4523560293480348E-3</v>
      </c>
    </row>
    <row r="816" spans="44:45" x14ac:dyDescent="0.2">
      <c r="AR816">
        <v>3.2300797993260022E-2</v>
      </c>
      <c r="AS816">
        <v>1.2752734940319143E-3</v>
      </c>
    </row>
    <row r="817" spans="44:45" x14ac:dyDescent="0.2">
      <c r="AR817">
        <v>2.995963854259057E-2</v>
      </c>
      <c r="AS817">
        <v>1.0981909587157931E-3</v>
      </c>
    </row>
    <row r="818" spans="44:45" x14ac:dyDescent="0.2">
      <c r="AR818">
        <v>2.7798287125638373E-2</v>
      </c>
      <c r="AS818">
        <v>9.2110842339967255E-4</v>
      </c>
    </row>
    <row r="819" spans="44:45" x14ac:dyDescent="0.2">
      <c r="AR819">
        <v>2.5861864347947759E-2</v>
      </c>
      <c r="AS819">
        <v>7.4402588808355173E-4</v>
      </c>
    </row>
    <row r="820" spans="44:45" x14ac:dyDescent="0.2">
      <c r="AR820">
        <v>2.4204415359585472E-2</v>
      </c>
      <c r="AS820">
        <v>5.6694335276743103E-4</v>
      </c>
    </row>
    <row r="821" spans="44:45" x14ac:dyDescent="0.2">
      <c r="AR821">
        <v>2.288663044579714E-2</v>
      </c>
      <c r="AS821">
        <v>3.8986081745131021E-4</v>
      </c>
    </row>
    <row r="822" spans="44:45" x14ac:dyDescent="0.2">
      <c r="AR822">
        <v>2.1969715936741373E-2</v>
      </c>
      <c r="AS822">
        <v>2.1277828213519834E-4</v>
      </c>
    </row>
    <row r="823" spans="44:45" x14ac:dyDescent="0.2">
      <c r="AR823">
        <v>2.150500914752632E-2</v>
      </c>
      <c r="AS823">
        <v>3.5695746819077598E-5</v>
      </c>
    </row>
    <row r="824" spans="44:45" x14ac:dyDescent="0.2">
      <c r="AR824">
        <v>2.1521822725892415E-2</v>
      </c>
      <c r="AS824">
        <v>-1.4138678849704318E-4</v>
      </c>
    </row>
    <row r="825" spans="44:45" x14ac:dyDescent="0.2">
      <c r="AR825">
        <v>2.2019053643827516E-2</v>
      </c>
      <c r="AS825">
        <v>-3.1846932381316393E-4</v>
      </c>
    </row>
    <row r="826" spans="44:45" x14ac:dyDescent="0.2">
      <c r="AR826">
        <v>2.2965518243885433E-2</v>
      </c>
      <c r="AS826">
        <v>-4.9555185912928464E-4</v>
      </c>
    </row>
    <row r="827" spans="44:45" x14ac:dyDescent="0.2">
      <c r="AR827">
        <v>2.4308800216509684E-2</v>
      </c>
      <c r="AS827">
        <v>-6.7263439444540545E-4</v>
      </c>
    </row>
    <row r="828" spans="44:45" x14ac:dyDescent="0.2">
      <c r="AR828">
        <v>2.5987438169961925E-2</v>
      </c>
      <c r="AS828">
        <v>-8.4971692976152616E-4</v>
      </c>
    </row>
    <row r="829" spans="44:45" x14ac:dyDescent="0.2">
      <c r="AR829">
        <v>2.7941054959046783E-2</v>
      </c>
      <c r="AS829">
        <v>-1.0267994650776469E-3</v>
      </c>
    </row>
    <row r="830" spans="44:45" x14ac:dyDescent="0.2">
      <c r="AR830">
        <v>3.0116184963019755E-2</v>
      </c>
      <c r="AS830">
        <v>-1.2038820003937676E-3</v>
      </c>
    </row>
    <row r="831" spans="44:45" x14ac:dyDescent="0.2">
      <c r="AR831">
        <v>3.246833959636107E-2</v>
      </c>
      <c r="AS831">
        <v>-1.3809645357098885E-3</v>
      </c>
    </row>
    <row r="832" spans="44:45" x14ac:dyDescent="0.2">
      <c r="AR832">
        <v>3.4961807597404124E-2</v>
      </c>
      <c r="AS832">
        <v>-1.558047071026009E-3</v>
      </c>
    </row>
    <row r="833" spans="44:45" x14ac:dyDescent="0.2">
      <c r="AR833">
        <v>3.7568462035684237E-2</v>
      </c>
      <c r="AS833">
        <v>-1.7351296063421299E-3</v>
      </c>
    </row>
    <row r="834" spans="44:45" x14ac:dyDescent="0.2">
      <c r="AR834">
        <v>4.0266327419952973E-2</v>
      </c>
      <c r="AS834">
        <v>-1.9122121416582506E-3</v>
      </c>
    </row>
    <row r="835" spans="44:45" x14ac:dyDescent="0.2">
      <c r="AR835">
        <v>4.3038254413608958E-2</v>
      </c>
      <c r="AS835">
        <v>-2.0892946769743713E-3</v>
      </c>
    </row>
    <row r="836" spans="44:45" x14ac:dyDescent="0.2">
      <c r="AR836">
        <v>4.5870818577453704E-2</v>
      </c>
      <c r="AS836">
        <v>-2.2663772122904925E-3</v>
      </c>
    </row>
    <row r="837" spans="44:45" x14ac:dyDescent="0.2">
      <c r="AR837">
        <v>4.8753452040612252E-2</v>
      </c>
      <c r="AS837">
        <v>-2.4434597476066127E-3</v>
      </c>
    </row>
    <row r="838" spans="44:45" x14ac:dyDescent="0.2">
      <c r="AR838">
        <v>5.1677776748834232E-2</v>
      </c>
      <c r="AS838">
        <v>-2.6205422829227334E-3</v>
      </c>
    </row>
    <row r="839" spans="44:45" x14ac:dyDescent="0.2">
      <c r="AR839">
        <v>5.4265814686850912E-2</v>
      </c>
      <c r="AS839">
        <v>2.6964045088429122E-3</v>
      </c>
    </row>
    <row r="840" spans="44:45" x14ac:dyDescent="0.2">
      <c r="AR840">
        <v>5.1302722007243576E-2</v>
      </c>
      <c r="AS840">
        <v>2.5193219735267914E-3</v>
      </c>
    </row>
    <row r="841" spans="44:45" x14ac:dyDescent="0.2">
      <c r="AR841">
        <v>4.8374439138793641E-2</v>
      </c>
      <c r="AS841">
        <v>2.3422394382106707E-3</v>
      </c>
    </row>
    <row r="842" spans="44:45" x14ac:dyDescent="0.2">
      <c r="AR842">
        <v>4.5487689252682997E-2</v>
      </c>
      <c r="AS842">
        <v>2.1651569028945496E-3</v>
      </c>
    </row>
    <row r="843" spans="44:45" x14ac:dyDescent="0.2">
      <c r="AR843">
        <v>4.2650906438432466E-2</v>
      </c>
      <c r="AS843">
        <v>1.9880743675784289E-3</v>
      </c>
    </row>
    <row r="844" spans="44:45" x14ac:dyDescent="0.2">
      <c r="AR844">
        <v>3.9874756443226765E-2</v>
      </c>
      <c r="AS844">
        <v>1.8109918322623084E-3</v>
      </c>
    </row>
    <row r="845" spans="44:45" x14ac:dyDescent="0.2">
      <c r="AR845">
        <v>3.7172826334687735E-2</v>
      </c>
      <c r="AS845">
        <v>1.6339092969461875E-3</v>
      </c>
    </row>
    <row r="846" spans="44:45" x14ac:dyDescent="0.2">
      <c r="AR846">
        <v>3.4562526946485261E-2</v>
      </c>
      <c r="AS846">
        <v>1.4568267616300668E-3</v>
      </c>
    </row>
    <row r="847" spans="44:45" x14ac:dyDescent="0.2">
      <c r="AR847">
        <v>3.2066243232715182E-2</v>
      </c>
      <c r="AS847">
        <v>1.2797442263139461E-3</v>
      </c>
    </row>
    <row r="848" spans="44:45" x14ac:dyDescent="0.2">
      <c r="AR848">
        <v>2.9712725827635712E-2</v>
      </c>
      <c r="AS848">
        <v>1.1026616909978252E-3</v>
      </c>
    </row>
    <row r="849" spans="44:45" x14ac:dyDescent="0.2">
      <c r="AR849">
        <v>2.7538602580238422E-2</v>
      </c>
      <c r="AS849">
        <v>9.2557915568170445E-4</v>
      </c>
    </row>
    <row r="850" spans="44:45" x14ac:dyDescent="0.2">
      <c r="AR850">
        <v>2.5589638976582771E-2</v>
      </c>
      <c r="AS850">
        <v>7.4849662036558364E-4</v>
      </c>
    </row>
    <row r="851" spans="44:45" x14ac:dyDescent="0.2">
      <c r="AR851">
        <v>2.3920933274996614E-2</v>
      </c>
      <c r="AS851">
        <v>5.7141408504946282E-4</v>
      </c>
    </row>
    <row r="852" spans="44:45" x14ac:dyDescent="0.2">
      <c r="AR852">
        <v>2.2594665508860766E-2</v>
      </c>
      <c r="AS852">
        <v>3.9433154973334217E-4</v>
      </c>
    </row>
    <row r="853" spans="44:45" x14ac:dyDescent="0.2">
      <c r="AR853">
        <v>2.1673790740967116E-2</v>
      </c>
      <c r="AS853">
        <v>2.172490144172303E-4</v>
      </c>
    </row>
    <row r="854" spans="44:45" x14ac:dyDescent="0.2">
      <c r="AR854">
        <v>2.1211174781813127E-2</v>
      </c>
      <c r="AS854">
        <v>4.0166479101109542E-5</v>
      </c>
    </row>
    <row r="855" spans="44:45" x14ac:dyDescent="0.2">
      <c r="AR855">
        <v>2.1236786505530538E-2</v>
      </c>
      <c r="AS855">
        <v>-1.3691605621501122E-4</v>
      </c>
    </row>
    <row r="856" spans="44:45" x14ac:dyDescent="0.2">
      <c r="AR856">
        <v>2.1748901155088485E-2</v>
      </c>
      <c r="AS856">
        <v>-3.1399859153113198E-4</v>
      </c>
    </row>
    <row r="857" spans="44:45" x14ac:dyDescent="0.2">
      <c r="AR857">
        <v>2.2714637059429332E-2</v>
      </c>
      <c r="AS857">
        <v>-4.9108112684725263E-4</v>
      </c>
    </row>
    <row r="858" spans="44:45" x14ac:dyDescent="0.2">
      <c r="AR858">
        <v>2.4079476882707763E-2</v>
      </c>
      <c r="AS858">
        <v>-6.6816366216337355E-4</v>
      </c>
    </row>
    <row r="859" spans="44:45" x14ac:dyDescent="0.2">
      <c r="AR859">
        <v>2.5780110784548241E-2</v>
      </c>
      <c r="AS859">
        <v>-8.4524619747949426E-4</v>
      </c>
    </row>
    <row r="860" spans="44:45" x14ac:dyDescent="0.2">
      <c r="AR860">
        <v>2.7754881590411618E-2</v>
      </c>
      <c r="AS860">
        <v>-1.0223287327956149E-3</v>
      </c>
    </row>
    <row r="861" spans="44:45" x14ac:dyDescent="0.2">
      <c r="AR861">
        <v>2.9949611467386762E-2</v>
      </c>
      <c r="AS861">
        <v>-1.1994112681117356E-3</v>
      </c>
    </row>
    <row r="862" spans="44:45" x14ac:dyDescent="0.2">
      <c r="AR862">
        <v>3.2319520988290433E-2</v>
      </c>
      <c r="AS862">
        <v>-1.3764938034278565E-3</v>
      </c>
    </row>
    <row r="863" spans="44:45" x14ac:dyDescent="0.2">
      <c r="AR863">
        <v>3.4828868510089914E-2</v>
      </c>
      <c r="AS863">
        <v>-1.553576338743977E-3</v>
      </c>
    </row>
    <row r="864" spans="44:45" x14ac:dyDescent="0.2">
      <c r="AR864">
        <v>3.7449634996741775E-2</v>
      </c>
      <c r="AS864">
        <v>-1.7306588740600979E-3</v>
      </c>
    </row>
    <row r="865" spans="44:45" x14ac:dyDescent="0.2">
      <c r="AR865">
        <v>4.0160013396420897E-2</v>
      </c>
      <c r="AS865">
        <v>-1.9077414093762188E-3</v>
      </c>
    </row>
    <row r="866" spans="44:45" x14ac:dyDescent="0.2">
      <c r="AR866">
        <v>4.2943039314045889E-2</v>
      </c>
      <c r="AS866">
        <v>-2.0848239446923395E-3</v>
      </c>
    </row>
    <row r="867" spans="44:45" x14ac:dyDescent="0.2">
      <c r="AR867">
        <v>4.5785467235468308E-2</v>
      </c>
      <c r="AS867">
        <v>-2.2619064800084602E-3</v>
      </c>
    </row>
    <row r="868" spans="44:45" x14ac:dyDescent="0.2">
      <c r="AR868">
        <v>4.8676892149438419E-2</v>
      </c>
      <c r="AS868">
        <v>-2.4389890153245809E-3</v>
      </c>
    </row>
    <row r="869" spans="44:45" x14ac:dyDescent="0.2">
      <c r="AR869">
        <v>5.1609079468650114E-2</v>
      </c>
      <c r="AS869">
        <v>-2.6160715506407016E-3</v>
      </c>
    </row>
    <row r="870" spans="44:45" x14ac:dyDescent="0.2">
      <c r="AR870">
        <v>5.4107262096284435E-2</v>
      </c>
      <c r="AS870">
        <v>2.7008752411249439E-3</v>
      </c>
    </row>
    <row r="871" spans="44:45" x14ac:dyDescent="0.2">
      <c r="AR871">
        <v>5.1138539123915139E-2</v>
      </c>
      <c r="AS871">
        <v>2.5237927058088237E-3</v>
      </c>
    </row>
    <row r="872" spans="44:45" x14ac:dyDescent="0.2">
      <c r="AR872">
        <v>4.8204055750692233E-2</v>
      </c>
      <c r="AS872">
        <v>2.3467101704927025E-3</v>
      </c>
    </row>
    <row r="873" spans="44:45" x14ac:dyDescent="0.2">
      <c r="AR873">
        <v>4.5310464937130771E-2</v>
      </c>
      <c r="AS873">
        <v>2.1696276351765818E-3</v>
      </c>
    </row>
    <row r="874" spans="44:45" x14ac:dyDescent="0.2">
      <c r="AR874">
        <v>4.2466126615663166E-2</v>
      </c>
      <c r="AS874">
        <v>1.9925450998604607E-3</v>
      </c>
    </row>
    <row r="875" spans="44:45" x14ac:dyDescent="0.2">
      <c r="AR875">
        <v>3.9681633302720544E-2</v>
      </c>
      <c r="AS875">
        <v>1.8154625645443404E-3</v>
      </c>
    </row>
    <row r="876" spans="44:45" x14ac:dyDescent="0.2">
      <c r="AR876">
        <v>3.6970509440919126E-2</v>
      </c>
      <c r="AS876">
        <v>1.6383800292282195E-3</v>
      </c>
    </row>
    <row r="877" spans="44:45" x14ac:dyDescent="0.2">
      <c r="AR877">
        <v>3.4350131731713439E-2</v>
      </c>
      <c r="AS877">
        <v>1.4612974939120986E-3</v>
      </c>
    </row>
    <row r="878" spans="44:45" x14ac:dyDescent="0.2">
      <c r="AR878">
        <v>3.1842910774087685E-2</v>
      </c>
      <c r="AS878">
        <v>1.2842149585959781E-3</v>
      </c>
    </row>
    <row r="879" spans="44:45" x14ac:dyDescent="0.2">
      <c r="AR879">
        <v>2.9477734276270581E-2</v>
      </c>
      <c r="AS879">
        <v>1.1071324232798572E-3</v>
      </c>
    </row>
    <row r="880" spans="44:45" x14ac:dyDescent="0.2">
      <c r="AR880">
        <v>2.7291557384542784E-2</v>
      </c>
      <c r="AS880">
        <v>9.3004988796373646E-4</v>
      </c>
    </row>
    <row r="881" spans="44:45" x14ac:dyDescent="0.2">
      <c r="AR881">
        <v>2.5330768361828907E-2</v>
      </c>
      <c r="AS881">
        <v>7.5296735264761554E-4</v>
      </c>
    </row>
    <row r="882" spans="44:45" x14ac:dyDescent="0.2">
      <c r="AR882">
        <v>2.365149005967571E-2</v>
      </c>
      <c r="AS882">
        <v>5.7588481733149483E-4</v>
      </c>
    </row>
    <row r="883" spans="44:45" x14ac:dyDescent="0.2">
      <c r="AR883">
        <v>2.2317360354681539E-2</v>
      </c>
      <c r="AS883">
        <v>3.9880228201537418E-4</v>
      </c>
    </row>
    <row r="884" spans="44:45" x14ac:dyDescent="0.2">
      <c r="AR884">
        <v>2.1393050256425596E-2</v>
      </c>
      <c r="AS884">
        <v>2.2171974669926226E-4</v>
      </c>
    </row>
    <row r="885" spans="44:45" x14ac:dyDescent="0.2">
      <c r="AR885">
        <v>2.0932918101943049E-2</v>
      </c>
      <c r="AS885">
        <v>4.4637211383141507E-5</v>
      </c>
    </row>
    <row r="886" spans="44:45" x14ac:dyDescent="0.2">
      <c r="AR886">
        <v>2.0967545306182705E-2</v>
      </c>
      <c r="AS886">
        <v>-1.3244532393297926E-4</v>
      </c>
    </row>
    <row r="887" spans="44:45" x14ac:dyDescent="0.2">
      <c r="AR887">
        <v>2.1494540864751211E-2</v>
      </c>
      <c r="AS887">
        <v>-3.0952785924909996E-4</v>
      </c>
    </row>
    <row r="888" spans="44:45" x14ac:dyDescent="0.2">
      <c r="AR888">
        <v>2.2479302763243381E-2</v>
      </c>
      <c r="AS888">
        <v>-4.8661039456522067E-4</v>
      </c>
    </row>
    <row r="889" spans="44:45" x14ac:dyDescent="0.2">
      <c r="AR889">
        <v>2.3865231056332325E-2</v>
      </c>
      <c r="AS889">
        <v>-6.6369292988134154E-4</v>
      </c>
    </row>
    <row r="890" spans="44:45" x14ac:dyDescent="0.2">
      <c r="AR890">
        <v>2.5587221203916665E-2</v>
      </c>
      <c r="AS890">
        <v>-8.4077546519746235E-4</v>
      </c>
    </row>
    <row r="891" spans="44:45" x14ac:dyDescent="0.2">
      <c r="AR891">
        <v>2.7582403075505621E-2</v>
      </c>
      <c r="AS891">
        <v>-1.0178580005135828E-3</v>
      </c>
    </row>
    <row r="892" spans="44:45" x14ac:dyDescent="0.2">
      <c r="AR892">
        <v>2.9795947120650951E-2</v>
      </c>
      <c r="AS892">
        <v>-1.1949405358297035E-3</v>
      </c>
    </row>
    <row r="893" spans="44:45" x14ac:dyDescent="0.2">
      <c r="AR893">
        <v>3.2182827798828667E-2</v>
      </c>
      <c r="AS893">
        <v>-1.3720230711458245E-3</v>
      </c>
    </row>
    <row r="894" spans="44:45" x14ac:dyDescent="0.2">
      <c r="AR894">
        <v>3.4707301542427016E-2</v>
      </c>
      <c r="AS894">
        <v>-1.549105606461945E-3</v>
      </c>
    </row>
    <row r="895" spans="44:45" x14ac:dyDescent="0.2">
      <c r="AR895">
        <v>3.734147279500797E-2</v>
      </c>
      <c r="AS895">
        <v>-1.7261881417780661E-3</v>
      </c>
    </row>
    <row r="896" spans="44:45" x14ac:dyDescent="0.2">
      <c r="AR896">
        <v>4.0063709707903364E-2</v>
      </c>
      <c r="AS896">
        <v>-1.9032706770941868E-3</v>
      </c>
    </row>
    <row r="897" spans="44:45" x14ac:dyDescent="0.2">
      <c r="AR897">
        <v>4.2857234109697814E-2</v>
      </c>
      <c r="AS897">
        <v>-2.0803532124103073E-3</v>
      </c>
    </row>
    <row r="898" spans="44:45" x14ac:dyDescent="0.2">
      <c r="AR898">
        <v>4.5708977569217268E-2</v>
      </c>
      <c r="AS898">
        <v>-2.2574357477264284E-3</v>
      </c>
    </row>
    <row r="899" spans="44:45" x14ac:dyDescent="0.2">
      <c r="AR899">
        <v>4.8608694492121837E-2</v>
      </c>
      <c r="AS899">
        <v>-2.4345182830425491E-3</v>
      </c>
    </row>
    <row r="900" spans="44:45" x14ac:dyDescent="0.2">
      <c r="AR900">
        <v>5.1548289641355993E-2</v>
      </c>
      <c r="AS900">
        <v>-2.6116008183586694E-3</v>
      </c>
    </row>
    <row r="901" spans="44:45" x14ac:dyDescent="0.2">
      <c r="AR901">
        <v>5.3955885563421034E-2</v>
      </c>
      <c r="AS901">
        <v>2.7053459734069762E-3</v>
      </c>
    </row>
    <row r="902" spans="44:45" x14ac:dyDescent="0.2">
      <c r="AR902">
        <v>5.0981915318595847E-2</v>
      </c>
      <c r="AS902">
        <v>2.5282634380908555E-3</v>
      </c>
    </row>
    <row r="903" spans="44:45" x14ac:dyDescent="0.2">
      <c r="AR903">
        <v>4.8041650961300593E-2</v>
      </c>
      <c r="AS903">
        <v>2.3511809027747348E-3</v>
      </c>
    </row>
    <row r="904" spans="44:45" x14ac:dyDescent="0.2">
      <c r="AR904">
        <v>4.5141679183852444E-2</v>
      </c>
      <c r="AS904">
        <v>2.1740983674586136E-3</v>
      </c>
    </row>
    <row r="905" spans="44:45" x14ac:dyDescent="0.2">
      <c r="AR905">
        <v>4.2290289747219115E-2</v>
      </c>
      <c r="AS905">
        <v>1.9970158321424925E-3</v>
      </c>
    </row>
    <row r="906" spans="44:45" x14ac:dyDescent="0.2">
      <c r="AR906">
        <v>3.9498005635539381E-2</v>
      </c>
      <c r="AS906">
        <v>1.8199332968263724E-3</v>
      </c>
    </row>
    <row r="907" spans="44:45" x14ac:dyDescent="0.2">
      <c r="AR907">
        <v>3.6778291509828476E-2</v>
      </c>
      <c r="AS907">
        <v>1.6428507615102513E-3</v>
      </c>
    </row>
    <row r="908" spans="44:45" x14ac:dyDescent="0.2">
      <c r="AR908">
        <v>3.4148491013428518E-2</v>
      </c>
      <c r="AS908">
        <v>1.4657682261941306E-3</v>
      </c>
    </row>
    <row r="909" spans="44:45" x14ac:dyDescent="0.2">
      <c r="AR909">
        <v>3.1631038325068646E-2</v>
      </c>
      <c r="AS909">
        <v>1.2886856908780101E-3</v>
      </c>
    </row>
    <row r="910" spans="44:45" x14ac:dyDescent="0.2">
      <c r="AR910">
        <v>2.9254951161558622E-2</v>
      </c>
      <c r="AS910">
        <v>1.1116031555618892E-3</v>
      </c>
    </row>
    <row r="911" spans="44:45" x14ac:dyDescent="0.2">
      <c r="AR911">
        <v>2.7057497746906772E-2</v>
      </c>
      <c r="AS911">
        <v>9.3452062024576836E-4</v>
      </c>
    </row>
    <row r="912" spans="44:45" x14ac:dyDescent="0.2">
      <c r="AR912">
        <v>2.5085665948864421E-2</v>
      </c>
      <c r="AS912">
        <v>7.5743808492964755E-4</v>
      </c>
    </row>
    <row r="913" spans="44:45" x14ac:dyDescent="0.2">
      <c r="AR913">
        <v>2.3396570748458686E-2</v>
      </c>
      <c r="AS913">
        <v>5.8035554961352685E-4</v>
      </c>
    </row>
    <row r="914" spans="44:45" x14ac:dyDescent="0.2">
      <c r="AR914">
        <v>2.205526795105232E-2</v>
      </c>
      <c r="AS914">
        <v>4.0327301429740609E-4</v>
      </c>
    </row>
    <row r="915" spans="44:45" x14ac:dyDescent="0.2">
      <c r="AR915">
        <v>2.1128099794190339E-2</v>
      </c>
      <c r="AS915">
        <v>2.2619047898129422E-4</v>
      </c>
    </row>
    <row r="916" spans="44:45" x14ac:dyDescent="0.2">
      <c r="AR916">
        <v>2.0670868205019354E-2</v>
      </c>
      <c r="AS916">
        <v>4.9107943665173465E-5</v>
      </c>
    </row>
    <row r="917" spans="44:45" x14ac:dyDescent="0.2">
      <c r="AR917">
        <v>2.0714715028229566E-2</v>
      </c>
      <c r="AS917">
        <v>-1.279745916509473E-4</v>
      </c>
    </row>
    <row r="918" spans="44:45" x14ac:dyDescent="0.2">
      <c r="AR918">
        <v>2.125653969882459E-2</v>
      </c>
      <c r="AS918">
        <v>-3.0505712696706806E-4</v>
      </c>
    </row>
    <row r="919" spans="44:45" x14ac:dyDescent="0.2">
      <c r="AR919">
        <v>2.2260008449012724E-2</v>
      </c>
      <c r="AS919">
        <v>-4.8213966228318877E-4</v>
      </c>
    </row>
    <row r="920" spans="44:45" x14ac:dyDescent="0.2">
      <c r="AR920">
        <v>2.3666472218055561E-2</v>
      </c>
      <c r="AS920">
        <v>-6.5922219759930963E-4</v>
      </c>
    </row>
    <row r="921" spans="44:45" x14ac:dyDescent="0.2">
      <c r="AR921">
        <v>2.5409098237862353E-2</v>
      </c>
      <c r="AS921">
        <v>-8.3630473291543034E-4</v>
      </c>
    </row>
    <row r="922" spans="44:45" x14ac:dyDescent="0.2">
      <c r="AR922">
        <v>2.7423877810954265E-2</v>
      </c>
      <c r="AS922">
        <v>-1.0133872682315508E-3</v>
      </c>
    </row>
    <row r="923" spans="44:45" x14ac:dyDescent="0.2">
      <c r="AR923">
        <v>2.9655392596194468E-2</v>
      </c>
      <c r="AS923">
        <v>-1.1904698035476715E-3</v>
      </c>
    </row>
    <row r="924" spans="44:45" x14ac:dyDescent="0.2">
      <c r="AR924">
        <v>3.2058415132288867E-2</v>
      </c>
      <c r="AS924">
        <v>-1.3675523388637925E-3</v>
      </c>
    </row>
    <row r="925" spans="44:45" x14ac:dyDescent="0.2">
      <c r="AR925">
        <v>3.4597226571928791E-2</v>
      </c>
      <c r="AS925">
        <v>-1.5446348741799132E-3</v>
      </c>
    </row>
    <row r="926" spans="44:45" x14ac:dyDescent="0.2">
      <c r="AR926">
        <v>3.7244068347322773E-2</v>
      </c>
      <c r="AS926">
        <v>-1.7217174094960341E-3</v>
      </c>
    </row>
    <row r="927" spans="44:45" x14ac:dyDescent="0.2">
      <c r="AR927">
        <v>3.9977488697593176E-2</v>
      </c>
      <c r="AS927">
        <v>-1.8987999448121548E-3</v>
      </c>
    </row>
    <row r="928" spans="44:45" x14ac:dyDescent="0.2">
      <c r="AR928">
        <v>4.2780895420593941E-2</v>
      </c>
      <c r="AS928">
        <v>-2.0758824801282755E-3</v>
      </c>
    </row>
    <row r="929" spans="44:45" x14ac:dyDescent="0.2">
      <c r="AR929">
        <v>4.5641394132134791E-2</v>
      </c>
      <c r="AS929">
        <v>-2.2529650154443966E-3</v>
      </c>
    </row>
    <row r="930" spans="44:45" x14ac:dyDescent="0.2">
      <c r="AR930">
        <v>4.8548894308494885E-2</v>
      </c>
      <c r="AS930">
        <v>-2.4300475507605169E-3</v>
      </c>
    </row>
    <row r="931" spans="44:45" x14ac:dyDescent="0.2">
      <c r="AR931">
        <v>5.1495435270957859E-2</v>
      </c>
      <c r="AS931">
        <v>-2.6071300860766376E-3</v>
      </c>
    </row>
    <row r="932" spans="44:45" x14ac:dyDescent="0.2">
      <c r="AR932">
        <v>5.3811745648682976E-2</v>
      </c>
      <c r="AS932">
        <v>2.709816705689008E-3</v>
      </c>
    </row>
    <row r="933" spans="44:45" x14ac:dyDescent="0.2">
      <c r="AR933">
        <v>5.0832920463272147E-2</v>
      </c>
      <c r="AS933">
        <v>2.5327341703728877E-3</v>
      </c>
    </row>
    <row r="934" spans="44:45" x14ac:dyDescent="0.2">
      <c r="AR934">
        <v>4.7887305946436573E-2</v>
      </c>
      <c r="AS934">
        <v>2.3556516350567666E-3</v>
      </c>
    </row>
    <row r="935" spans="44:45" x14ac:dyDescent="0.2">
      <c r="AR935">
        <v>4.4981426986094523E-2</v>
      </c>
      <c r="AS935">
        <v>2.1785690997406454E-3</v>
      </c>
    </row>
    <row r="936" spans="44:45" x14ac:dyDescent="0.2">
      <c r="AR936">
        <v>4.2123507825423942E-2</v>
      </c>
      <c r="AS936">
        <v>2.0014865644245247E-3</v>
      </c>
    </row>
    <row r="937" spans="44:45" x14ac:dyDescent="0.2">
      <c r="AR937">
        <v>3.9324006462302608E-2</v>
      </c>
      <c r="AS937">
        <v>1.824404029108404E-3</v>
      </c>
    </row>
    <row r="938" spans="44:45" x14ac:dyDescent="0.2">
      <c r="AR938">
        <v>3.6596331672605488E-2</v>
      </c>
      <c r="AS938">
        <v>1.6473214937922831E-3</v>
      </c>
    </row>
    <row r="939" spans="44:45" x14ac:dyDescent="0.2">
      <c r="AR939">
        <v>3.3957796372128528E-2</v>
      </c>
      <c r="AS939">
        <v>1.4702389584761624E-3</v>
      </c>
    </row>
    <row r="940" spans="44:45" x14ac:dyDescent="0.2">
      <c r="AR940">
        <v>3.1430857639046517E-2</v>
      </c>
      <c r="AS940">
        <v>1.2931564231600419E-3</v>
      </c>
    </row>
    <row r="941" spans="44:45" x14ac:dyDescent="0.2">
      <c r="AR941">
        <v>2.9044657414342801E-2</v>
      </c>
      <c r="AS941">
        <v>1.116073887843921E-3</v>
      </c>
    </row>
    <row r="942" spans="44:45" x14ac:dyDescent="0.2">
      <c r="AR942">
        <v>2.6836763434187321E-2</v>
      </c>
      <c r="AS942">
        <v>9.3899135252780038E-4</v>
      </c>
    </row>
    <row r="943" spans="44:45" x14ac:dyDescent="0.2">
      <c r="AR943">
        <v>2.4854739062078177E-2</v>
      </c>
      <c r="AS943">
        <v>7.6190881721167956E-4</v>
      </c>
    </row>
    <row r="944" spans="44:45" x14ac:dyDescent="0.2">
      <c r="AR944">
        <v>2.3156655004143455E-2</v>
      </c>
      <c r="AS944">
        <v>5.8482628189555875E-4</v>
      </c>
    </row>
    <row r="945" spans="44:45" x14ac:dyDescent="0.2">
      <c r="AR945">
        <v>2.1808936769895853E-2</v>
      </c>
      <c r="AS945">
        <v>4.0774374657943804E-4</v>
      </c>
    </row>
    <row r="946" spans="44:45" x14ac:dyDescent="0.2">
      <c r="AR946">
        <v>2.0879540464319998E-2</v>
      </c>
      <c r="AS946">
        <v>2.3066121126332615E-4</v>
      </c>
    </row>
    <row r="947" spans="44:45" x14ac:dyDescent="0.2">
      <c r="AR947">
        <v>2.0425648873034625E-2</v>
      </c>
      <c r="AS947">
        <v>5.3578675947205416E-5</v>
      </c>
    </row>
    <row r="948" spans="44:45" x14ac:dyDescent="0.2">
      <c r="AR948">
        <v>2.0478903502953734E-2</v>
      </c>
      <c r="AS948">
        <v>-1.2350385936891534E-4</v>
      </c>
    </row>
    <row r="949" spans="44:45" x14ac:dyDescent="0.2">
      <c r="AR949">
        <v>2.1035452940156699E-2</v>
      </c>
      <c r="AS949">
        <v>-3.005863946850361E-4</v>
      </c>
    </row>
    <row r="950" spans="44:45" x14ac:dyDescent="0.2">
      <c r="AR950">
        <v>2.2057232533281904E-2</v>
      </c>
      <c r="AS950">
        <v>-4.7766893000115675E-4</v>
      </c>
    </row>
    <row r="951" spans="44:45" x14ac:dyDescent="0.2">
      <c r="AR951">
        <v>2.3483593604311456E-2</v>
      </c>
      <c r="AS951">
        <v>-6.5475146531727762E-4</v>
      </c>
    </row>
    <row r="952" spans="44:45" x14ac:dyDescent="0.2">
      <c r="AR952">
        <v>2.5246054444865489E-2</v>
      </c>
      <c r="AS952">
        <v>-8.3183400063339833E-4</v>
      </c>
    </row>
    <row r="953" spans="44:45" x14ac:dyDescent="0.2">
      <c r="AR953">
        <v>2.7279549050694237E-2</v>
      </c>
      <c r="AS953">
        <v>-1.008916535949519E-3</v>
      </c>
    </row>
    <row r="954" spans="44:45" x14ac:dyDescent="0.2">
      <c r="AR954">
        <v>2.9528135103673903E-2</v>
      </c>
      <c r="AS954">
        <v>-1.1859990712656397E-3</v>
      </c>
    </row>
    <row r="955" spans="44:45" x14ac:dyDescent="0.2">
      <c r="AR955">
        <v>3.1946426465379062E-2</v>
      </c>
      <c r="AS955">
        <v>-1.3630816065817609E-3</v>
      </c>
    </row>
    <row r="956" spans="44:45" x14ac:dyDescent="0.2">
      <c r="AR956">
        <v>3.44987536011142E-2</v>
      </c>
      <c r="AS956">
        <v>-1.5401641418978814E-3</v>
      </c>
    </row>
    <row r="957" spans="44:45" x14ac:dyDescent="0.2">
      <c r="AR957">
        <v>3.7157506254704105E-2</v>
      </c>
      <c r="AS957">
        <v>-1.7172466772140023E-3</v>
      </c>
    </row>
    <row r="958" spans="44:45" x14ac:dyDescent="0.2">
      <c r="AR958">
        <v>3.9901415727036871E-2</v>
      </c>
      <c r="AS958">
        <v>-1.894329212530123E-3</v>
      </c>
    </row>
    <row r="959" spans="44:45" x14ac:dyDescent="0.2">
      <c r="AR959">
        <v>4.2714074002496431E-2</v>
      </c>
      <c r="AS959">
        <v>-2.0714117478462437E-3</v>
      </c>
    </row>
    <row r="960" spans="44:45" x14ac:dyDescent="0.2">
      <c r="AR960">
        <v>4.5582756538795718E-2</v>
      </c>
      <c r="AS960">
        <v>-2.2484942831623644E-3</v>
      </c>
    </row>
    <row r="961" spans="44:45" x14ac:dyDescent="0.2">
      <c r="AR961">
        <v>4.8497522662245066E-2</v>
      </c>
      <c r="AS961">
        <v>-2.4255768184784851E-3</v>
      </c>
    </row>
    <row r="962" spans="44:45" x14ac:dyDescent="0.2">
      <c r="AR962">
        <v>5.1450540813389789E-2</v>
      </c>
      <c r="AS962">
        <v>-2.6026593537946054E-3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Kenechukwu</vt:lpstr>
      <vt:lpstr>Morgan</vt:lpstr>
      <vt:lpstr>Lisa</vt:lpstr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Maurice Jordan-Ferguson</cp:lastModifiedBy>
  <dcterms:created xsi:type="dcterms:W3CDTF">2026-03-18T15:22:59Z</dcterms:created>
  <dcterms:modified xsi:type="dcterms:W3CDTF">2026-03-28T14:49:03Z</dcterms:modified>
</cp:coreProperties>
</file>